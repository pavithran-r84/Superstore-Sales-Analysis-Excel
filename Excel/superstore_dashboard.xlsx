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C:\Users\pavithran rajendran\Downloads\Excel\"/>
    </mc:Choice>
  </mc:AlternateContent>
  <xr:revisionPtr revIDLastSave="0" documentId="13_ncr:1_{6856DBCF-F633-4D1F-81F4-6449E2EFD11A}" xr6:coauthVersionLast="47" xr6:coauthVersionMax="47" xr10:uidLastSave="{00000000-0000-0000-0000-000000000000}"/>
  <bookViews>
    <workbookView xWindow="-108" yWindow="-108" windowWidth="23256" windowHeight="13176" activeTab="3" xr2:uid="{678B9F6A-9851-4756-AB0A-0B9BE802215D}"/>
  </bookViews>
  <sheets>
    <sheet name="raw data" sheetId="1" r:id="rId1"/>
    <sheet name="cleaned data " sheetId="2" r:id="rId2"/>
    <sheet name="EDA" sheetId="3" r:id="rId3"/>
    <sheet name="Dashboard" sheetId="4" r:id="rId4"/>
  </sheets>
  <definedNames>
    <definedName name="_xlnm._FilterDatabase" localSheetId="1" hidden="1">'cleaned data '!$A$1:$X$551</definedName>
    <definedName name="NativeTimeline_Order_Date">#N/A</definedName>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 i="2" l="1"/>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2"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2"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2" i="2"/>
  <c r="R554" i="2"/>
  <c r="U557" i="2"/>
  <c r="T557" i="2"/>
  <c r="S557" i="2"/>
  <c r="R557" i="2"/>
  <c r="U554" i="2"/>
  <c r="T554" i="2"/>
  <c r="S554"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2" i="2"/>
</calcChain>
</file>

<file path=xl/sharedStrings.xml><?xml version="1.0" encoding="utf-8"?>
<sst xmlns="http://schemas.openxmlformats.org/spreadsheetml/2006/main" count="14439" uniqueCount="1898">
  <si>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</si>
  <si>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</si>
  <si>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</si>
  <si>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</si>
  <si>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</si>
  <si>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</si>
  <si>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</si>
  <si>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</si>
  <si>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</si>
  <si>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</si>
  <si>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</si>
  <si>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</si>
  <si>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</si>
  <si>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</si>
  <si>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</si>
  <si>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</si>
  <si>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</si>
  <si>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</si>
  <si>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</si>
  <si>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</si>
  <si>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</si>
  <si>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</si>
  <si>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</si>
  <si>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</si>
  <si>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</si>
  <si>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</si>
  <si>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</si>
  <si>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</si>
  <si>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</si>
  <si>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</si>
  <si>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</si>
  <si>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</si>
  <si>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</si>
  <si>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</si>
  <si>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</si>
  <si>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</si>
  <si>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</si>
  <si>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</si>
  <si>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</si>
  <si>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</si>
  <si>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</si>
  <si>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</si>
  <si>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</si>
  <si>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</si>
  <si>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</si>
  <si>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</si>
  <si>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</si>
  <si>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</si>
  <si>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</si>
  <si>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</si>
  <si>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</si>
  <si>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</si>
  <si>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</si>
  <si>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</si>
  <si>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</si>
  <si>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</si>
  <si>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</si>
  <si>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</si>
  <si>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</si>
  <si>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</si>
  <si>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</si>
  <si>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</si>
  <si>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</si>
  <si>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</si>
  <si>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</si>
  <si>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</si>
  <si>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</si>
  <si>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</si>
  <si>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</si>
  <si>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</si>
  <si>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</si>
  <si>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</si>
  <si>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</si>
  <si>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</si>
  <si>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</si>
  <si>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</si>
  <si>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</si>
  <si>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</si>
  <si>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</si>
  <si>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</si>
  <si>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</si>
  <si>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</si>
  <si>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</si>
  <si>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</si>
  <si>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</si>
  <si>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</si>
  <si>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</si>
  <si>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</si>
  <si>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</si>
  <si>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</si>
  <si>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</si>
  <si>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</si>
  <si>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</si>
  <si>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</si>
  <si>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</si>
  <si>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</si>
  <si>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</si>
  <si>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</si>
  <si>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</si>
  <si>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</si>
  <si>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</si>
  <si>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</si>
  <si>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</si>
  <si>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</si>
  <si>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</si>
  <si>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</si>
  <si>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</si>
  <si>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</si>
  <si>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</si>
  <si>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</si>
  <si>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</si>
  <si>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</si>
  <si>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</si>
  <si>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</si>
  <si>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</si>
  <si>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</si>
  <si>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</si>
  <si>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</si>
  <si>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</si>
  <si>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</si>
  <si>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</si>
  <si>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</si>
  <si>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</si>
  <si>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</si>
  <si>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</si>
  <si>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</si>
  <si>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</si>
  <si>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</si>
  <si>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</si>
  <si>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</si>
  <si>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</si>
  <si>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</si>
  <si>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</si>
  <si>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</si>
  <si>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</si>
  <si>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</si>
  <si>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</si>
  <si>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</si>
  <si>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</si>
  <si>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</si>
  <si>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</si>
  <si>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</si>
  <si>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</si>
  <si>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</si>
  <si>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</si>
  <si>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</si>
  <si>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</si>
  <si>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</si>
  <si>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</si>
  <si>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</si>
  <si>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</si>
  <si>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</si>
  <si>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</si>
  <si>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</si>
  <si>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</si>
  <si>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</si>
  <si>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</si>
  <si>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</si>
  <si>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</si>
  <si>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</si>
  <si>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</si>
  <si>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</si>
  <si>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</si>
  <si>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</si>
  <si>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</si>
  <si>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</si>
  <si>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</si>
  <si>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</si>
  <si>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</si>
  <si>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</si>
  <si>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</si>
  <si>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</si>
  <si>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</si>
  <si>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</si>
  <si>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</si>
  <si>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</si>
  <si>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</si>
  <si>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</si>
  <si>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</si>
  <si>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</si>
  <si>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</si>
  <si>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</si>
  <si>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</si>
  <si>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</si>
  <si>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</si>
  <si>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</si>
  <si>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</si>
  <si>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</si>
  <si>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</si>
  <si>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</si>
  <si>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</si>
  <si>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</si>
  <si>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</si>
  <si>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</si>
  <si>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</si>
  <si>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</si>
  <si>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</si>
  <si>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</si>
  <si>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</si>
  <si>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</si>
  <si>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</si>
  <si>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</si>
  <si>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</si>
  <si>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</si>
  <si>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</si>
  <si>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</si>
  <si>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</si>
  <si>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</si>
  <si>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</si>
  <si>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</si>
  <si>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</si>
  <si>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</si>
  <si>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</si>
  <si>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</si>
  <si>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</si>
  <si>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</si>
  <si>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</si>
  <si>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</si>
  <si>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</si>
  <si>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</si>
  <si>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</si>
  <si>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</si>
  <si>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</si>
  <si>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</si>
  <si>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</si>
  <si>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</si>
  <si>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</si>
  <si>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</si>
  <si>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</si>
  <si>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</si>
  <si>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</si>
  <si>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</si>
  <si>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</si>
  <si>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</si>
  <si>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</si>
  <si>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</si>
  <si>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</si>
  <si>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</si>
  <si>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</si>
  <si>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</si>
  <si>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</si>
  <si>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</si>
  <si>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</si>
  <si>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</si>
  <si>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</si>
  <si>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</si>
  <si>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</si>
  <si>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</si>
  <si>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</si>
  <si>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</si>
  <si>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</si>
  <si>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</si>
  <si>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</si>
  <si>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</si>
  <si>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</si>
  <si>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</si>
  <si>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</si>
  <si>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</si>
  <si>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</si>
  <si>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</si>
  <si>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</si>
  <si>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</si>
  <si>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</si>
  <si>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</si>
  <si>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</si>
  <si>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</si>
  <si>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</si>
  <si>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</si>
  <si>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</si>
  <si>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</si>
  <si>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</si>
  <si>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</si>
  <si>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</si>
  <si>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</si>
  <si>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</si>
  <si>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</si>
  <si>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</si>
  <si>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</si>
  <si>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</si>
  <si>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</si>
  <si>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</si>
  <si>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</si>
  <si>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</si>
  <si>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</si>
  <si>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</si>
  <si>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</si>
  <si>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</si>
  <si>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</si>
  <si>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</si>
  <si>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</si>
  <si>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</si>
  <si>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</si>
  <si>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</si>
  <si>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</si>
  <si>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</si>
  <si>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</si>
  <si>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</si>
  <si>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</si>
  <si>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</si>
  <si>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</si>
  <si>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</si>
  <si>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</si>
  <si>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</si>
  <si>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</si>
  <si>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</si>
  <si>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</si>
  <si>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</si>
  <si>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</si>
  <si>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</si>
  <si>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</si>
  <si>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</si>
  <si>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</si>
  <si>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</si>
  <si>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</si>
  <si>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</si>
  <si>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</si>
  <si>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</si>
  <si>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</si>
  <si>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</si>
  <si>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</si>
  <si>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</si>
  <si>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</si>
  <si>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</si>
  <si>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</si>
  <si>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</si>
  <si>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</si>
  <si>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</si>
  <si>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</si>
  <si>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</si>
  <si>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</si>
  <si>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</si>
  <si>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</si>
  <si>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</si>
  <si>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</si>
  <si>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</si>
  <si>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</si>
  <si>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</si>
  <si>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</si>
  <si>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</si>
  <si>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</si>
  <si>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</si>
  <si>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</si>
  <si>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</si>
  <si>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</si>
  <si>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</si>
  <si>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</si>
  <si>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</si>
  <si>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</si>
  <si>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</si>
  <si>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</si>
  <si>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</si>
  <si>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</si>
  <si>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</si>
  <si>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</si>
  <si>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</si>
  <si>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</si>
  <si>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</si>
  <si>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</si>
  <si>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</si>
  <si>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</si>
  <si>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</si>
  <si>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</si>
  <si>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</si>
  <si>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</si>
  <si>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</si>
  <si>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</si>
  <si>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</si>
  <si>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</si>
  <si>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</si>
  <si>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</si>
  <si>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</si>
  <si>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</si>
  <si>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</si>
  <si>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</si>
  <si>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</si>
  <si>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</si>
  <si>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</si>
  <si>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</si>
  <si>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</si>
  <si>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</si>
  <si>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</si>
  <si>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</si>
  <si>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</si>
  <si>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</si>
  <si>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</si>
  <si>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</si>
  <si>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</si>
  <si>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</si>
  <si>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</si>
  <si>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</si>
  <si>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</si>
  <si>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</si>
  <si>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</si>
  <si>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</si>
  <si>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</si>
  <si>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</si>
  <si>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</si>
  <si>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</si>
  <si>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</si>
  <si>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</si>
  <si>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</si>
  <si>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</si>
  <si>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</si>
  <si>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</si>
  <si>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</si>
  <si>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</si>
  <si>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</si>
  <si>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</si>
  <si>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</si>
  <si>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</si>
  <si>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</si>
  <si>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</si>
  <si>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</si>
  <si>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</si>
  <si>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</si>
  <si>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</si>
  <si>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</si>
  <si>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</si>
  <si>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</si>
  <si>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</si>
  <si>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</si>
  <si>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</si>
  <si>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</si>
  <si>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</si>
  <si>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</si>
  <si>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</si>
  <si>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</si>
  <si>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</si>
  <si>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</si>
  <si>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</si>
  <si>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</si>
  <si>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</si>
  <si>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</si>
  <si>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</si>
  <si>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</si>
  <si>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</si>
  <si>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</si>
  <si>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</si>
  <si>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</si>
  <si>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</si>
  <si>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</si>
  <si>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</si>
  <si>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</si>
  <si>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</si>
  <si>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</si>
  <si>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</si>
  <si>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</si>
  <si>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</si>
  <si>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</si>
  <si>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</si>
  <si>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</si>
  <si>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</si>
  <si>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</si>
  <si>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</si>
  <si>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</si>
  <si>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</si>
  <si>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</si>
  <si>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</si>
  <si>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</si>
  <si>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</si>
  <si>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</si>
  <si>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</si>
  <si>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</si>
  <si>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</si>
  <si>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</si>
  <si>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</si>
  <si>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</si>
  <si>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</si>
  <si>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</si>
  <si>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</si>
  <si>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</si>
  <si>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</si>
  <si>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</si>
  <si>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</si>
  <si>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</si>
  <si>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</si>
  <si>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</si>
  <si>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</si>
  <si>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</si>
  <si>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</si>
  <si>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</si>
  <si>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</si>
  <si>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</si>
  <si>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</si>
  <si>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</si>
  <si>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</si>
  <si>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</si>
  <si>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</si>
  <si>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</si>
  <si>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</si>
  <si>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</si>
  <si>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</si>
  <si>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</si>
  <si>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</si>
  <si>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</si>
  <si>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</si>
  <si>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</si>
  <si>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</si>
  <si>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</si>
  <si>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</si>
  <si>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</si>
  <si>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</si>
  <si>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</si>
  <si>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</si>
  <si>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</si>
  <si>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</si>
  <si>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</si>
  <si>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</si>
  <si>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</si>
  <si>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</si>
  <si>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</si>
  <si>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</si>
  <si>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</si>
  <si>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</si>
  <si>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</si>
  <si>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</si>
  <si>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</si>
  <si>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</si>
  <si>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</si>
  <si>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</si>
  <si>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</si>
  <si>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</si>
  <si>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</si>
  <si>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</si>
  <si>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</si>
  <si>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</si>
  <si>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</si>
  <si>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</si>
  <si>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</si>
  <si>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</si>
  <si>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</si>
  <si>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</si>
  <si>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</si>
  <si>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</si>
  <si>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</si>
  <si>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</si>
  <si>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</si>
  <si>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</si>
  <si>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</si>
  <si>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</si>
  <si>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</si>
  <si>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</si>
  <si>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</si>
  <si>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</si>
  <si>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</si>
  <si>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</si>
  <si>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</si>
  <si>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</si>
  <si>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</si>
  <si>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</si>
  <si>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</si>
  <si>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</si>
  <si>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</si>
  <si>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</si>
  <si>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</si>
  <si>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</si>
  <si>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</si>
  <si>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</si>
  <si>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</si>
  <si>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</si>
  <si>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</si>
  <si>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</si>
  <si>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</si>
  <si>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</si>
  <si>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</si>
  <si>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</si>
  <si>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</si>
  <si>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</si>
  <si>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</si>
  <si>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</si>
  <si>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</si>
  <si>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</si>
  <si>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</si>
  <si>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</si>
  <si>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</si>
  <si>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</si>
  <si>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</si>
  <si>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</si>
  <si>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</si>
  <si>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</si>
  <si>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</si>
  <si>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</si>
  <si>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</si>
  <si>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</si>
  <si>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</si>
  <si>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</si>
  <si>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</si>
  <si>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</si>
  <si>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</si>
  <si>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</si>
  <si>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</si>
  <si>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</si>
  <si>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</si>
  <si>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</si>
  <si>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</si>
  <si>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</si>
  <si>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</si>
  <si>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</si>
  <si>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</si>
  <si>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</si>
  <si>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</si>
  <si>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</si>
  <si>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</si>
  <si>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</si>
  <si>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</si>
  <si>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</si>
  <si>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</si>
  <si>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</si>
  <si>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</si>
  <si>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</si>
  <si>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</si>
  <si>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</si>
  <si>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</si>
  <si>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</si>
  <si>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</si>
  <si>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</si>
  <si>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</si>
  <si>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</si>
  <si>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</si>
  <si>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</si>
  <si>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</si>
  <si>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</si>
  <si>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</si>
  <si>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</si>
  <si>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</si>
  <si>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</si>
  <si>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</si>
  <si>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</si>
  <si>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</si>
  <si>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</si>
  <si>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</si>
  <si>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</si>
  <si>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</si>
  <si>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</si>
  <si>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</si>
  <si>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</si>
  <si>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</si>
  <si>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</si>
  <si>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</si>
  <si>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</si>
  <si>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</si>
  <si>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</si>
  <si>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</si>
  <si>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</si>
  <si>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</si>
  <si>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</si>
  <si>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</si>
  <si>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</si>
  <si>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</si>
  <si>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</si>
  <si>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</si>
  <si>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</si>
  <si>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</si>
  <si>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</si>
  <si>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</si>
  <si>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</si>
  <si>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</si>
  <si>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</si>
  <si>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</si>
  <si>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</si>
  <si>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</si>
  <si>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</si>
  <si>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</si>
  <si>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</si>
  <si>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</si>
  <si>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</si>
  <si>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</si>
  <si>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</si>
  <si>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</si>
  <si>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</si>
  <si>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</si>
  <si>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</si>
  <si>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</si>
  <si>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</si>
  <si>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</si>
  <si>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</si>
  <si>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</si>
  <si>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</si>
  <si>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</si>
  <si>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</si>
  <si>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</si>
  <si>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</si>
  <si>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</si>
  <si>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</si>
  <si>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</si>
  <si>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</si>
  <si>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</si>
  <si>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</si>
  <si>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</si>
  <si>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</si>
  <si>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</si>
  <si>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</si>
  <si>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</si>
  <si>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</si>
  <si>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</si>
  <si>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</si>
  <si>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</si>
  <si>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</si>
  <si>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</si>
  <si>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</si>
  <si>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</si>
  <si>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</si>
  <si>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</si>
  <si>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</si>
  <si>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</si>
  <si>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</si>
  <si>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</si>
  <si>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</si>
  <si>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</si>
  <si>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</si>
  <si>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</si>
  <si>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</si>
  <si>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</si>
  <si>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</si>
  <si>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</si>
  <si>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</si>
  <si>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</si>
  <si>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</si>
  <si>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</si>
  <si>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</si>
  <si>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</si>
  <si>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</si>
  <si>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</si>
  <si>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</si>
  <si>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</si>
  <si>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</si>
  <si>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</si>
  <si>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</si>
  <si>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</si>
  <si>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</si>
  <si>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</si>
  <si>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</si>
  <si>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</si>
  <si>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</si>
  <si>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</si>
  <si>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</si>
  <si>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</si>
  <si>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</si>
  <si>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</si>
  <si>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</si>
  <si>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</si>
  <si>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</si>
  <si>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</si>
  <si>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</si>
  <si>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</si>
  <si>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</si>
  <si>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</si>
  <si>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</si>
  <si>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</si>
  <si>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</si>
  <si>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</si>
  <si>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</si>
  <si>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</si>
  <si>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</si>
  <si>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</si>
  <si>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</si>
  <si>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</si>
  <si>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</si>
  <si>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</si>
  <si>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</si>
  <si>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</si>
  <si>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</si>
  <si>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</si>
  <si>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</si>
  <si>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</si>
  <si>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</si>
  <si>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</si>
  <si>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</si>
  <si>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</si>
  <si>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</si>
  <si>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</si>
  <si>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</si>
  <si>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</si>
  <si>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</si>
  <si>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</si>
  <si>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</si>
  <si>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</si>
  <si>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</si>
  <si>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</si>
  <si>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</si>
  <si>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</si>
  <si>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</si>
  <si>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</si>
  <si>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</si>
  <si>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</si>
  <si>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</si>
  <si>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</si>
  <si>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</si>
  <si>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</si>
  <si>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</si>
  <si>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</si>
  <si>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</si>
  <si>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</si>
  <si>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</si>
  <si>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</si>
  <si>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</si>
  <si>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</si>
  <si>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</si>
  <si>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</si>
  <si>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</si>
  <si>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</si>
  <si>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</si>
  <si>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</si>
  <si>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</si>
  <si>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</si>
  <si>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</si>
  <si>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</si>
  <si>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</si>
  <si>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</si>
  <si>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</si>
  <si>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</si>
  <si>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</si>
  <si>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</si>
  <si>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</si>
  <si>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</si>
  <si>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</si>
  <si>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</si>
  <si>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</si>
  <si>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</si>
  <si>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</si>
  <si>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</si>
  <si>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</si>
  <si>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</si>
  <si>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</si>
  <si>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</si>
  <si>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</si>
  <si>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</si>
  <si>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</si>
  <si>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</si>
  <si>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</si>
  <si>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</si>
  <si>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</si>
  <si>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</si>
  <si>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</si>
  <si>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</si>
  <si>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</si>
  <si>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</si>
  <si>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</si>
  <si>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</si>
  <si>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</si>
  <si>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</si>
  <si>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</si>
  <si>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</si>
  <si>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</si>
  <si>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</si>
  <si>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</si>
  <si>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</si>
  <si>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</si>
  <si>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</si>
  <si>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</si>
  <si>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</si>
  <si>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</si>
  <si>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</si>
  <si>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</si>
  <si>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</si>
  <si>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</si>
  <si>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</si>
  <si>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</si>
  <si>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</si>
  <si>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</si>
  <si>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</si>
  <si>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</si>
  <si>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</si>
  <si>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</si>
  <si>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</si>
  <si>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</si>
  <si>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</si>
  <si>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</si>
  <si>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</si>
  <si>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</si>
  <si>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</si>
  <si>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</si>
  <si>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</si>
  <si>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</si>
  <si>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</si>
  <si>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</si>
  <si>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</si>
  <si>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</si>
  <si>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</si>
  <si>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</si>
  <si>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</si>
  <si>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</si>
  <si>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</si>
  <si>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</si>
  <si>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</si>
  <si>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</si>
  <si>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</si>
  <si>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</si>
  <si>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</si>
  <si>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</si>
  <si>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</si>
  <si>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</si>
  <si>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</si>
  <si>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</si>
  <si>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</si>
  <si>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</si>
  <si>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</si>
  <si>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</si>
  <si>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</si>
  <si>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</si>
  <si>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</si>
  <si>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</si>
  <si>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</si>
  <si>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</si>
  <si>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</si>
  <si>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</si>
  <si>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</si>
  <si>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</si>
  <si>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</si>
  <si>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</si>
  <si>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</si>
  <si>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</si>
  <si>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</si>
  <si>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</si>
  <si>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</si>
  <si>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</si>
  <si>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</si>
  <si>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</si>
  <si>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</si>
  <si>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</si>
  <si>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</si>
  <si>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</si>
  <si>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</si>
  <si>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</si>
  <si>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</si>
  <si>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</si>
  <si>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</si>
  <si>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</si>
  <si>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</si>
  <si>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</si>
  <si>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</si>
  <si>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</si>
  <si>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</si>
  <si>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</si>
  <si>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</si>
  <si>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</si>
  <si>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</si>
  <si>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</si>
  <si>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</si>
  <si>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</si>
  <si>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</si>
  <si>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</si>
  <si>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</si>
  <si>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</si>
  <si>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</si>
  <si>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</si>
  <si>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</si>
  <si>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</si>
  <si>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</si>
  <si>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</si>
  <si>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</si>
  <si>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</si>
  <si>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</si>
  <si>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</si>
  <si>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</si>
  <si>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</si>
  <si>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</si>
  <si>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</si>
  <si>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</si>
  <si>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</si>
  <si>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</si>
  <si>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</si>
  <si>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</si>
  <si>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</si>
  <si>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</si>
  <si>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</si>
  <si>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</si>
  <si>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</si>
  <si>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</si>
  <si>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</si>
  <si>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</si>
  <si>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</si>
  <si>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</si>
  <si>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</si>
  <si>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</si>
  <si>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</si>
  <si>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</si>
  <si>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</si>
  <si>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</si>
  <si>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</si>
  <si>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</si>
  <si>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</si>
  <si>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</si>
  <si>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</si>
  <si>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</si>
  <si>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</si>
  <si>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</si>
  <si>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</si>
  <si>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</si>
  <si>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</si>
  <si>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</si>
  <si>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</si>
  <si>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</si>
  <si>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</si>
  <si>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</si>
  <si>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</si>
  <si>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</si>
  <si>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</si>
  <si>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</si>
  <si>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</si>
  <si>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</si>
  <si>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</si>
  <si>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</si>
  <si>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</si>
  <si>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</si>
  <si>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</si>
  <si>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</si>
  <si>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</si>
  <si>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</si>
  <si>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</si>
  <si>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</si>
  <si>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</si>
  <si>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</si>
  <si>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</si>
  <si>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</si>
  <si>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</si>
  <si>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</si>
  <si>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</si>
  <si>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</si>
  <si>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</si>
  <si>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</si>
  <si>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</si>
  <si>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</si>
  <si>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</si>
  <si>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</si>
  <si>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</si>
  <si>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</si>
  <si>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</si>
  <si>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</si>
  <si>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</si>
  <si>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</si>
  <si>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</si>
  <si>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</si>
  <si>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</si>
  <si>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</si>
  <si>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</si>
  <si>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</si>
  <si>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</si>
  <si>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</si>
  <si>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</si>
  <si>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</si>
  <si>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</si>
  <si>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</si>
  <si>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</si>
  <si>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</si>
  <si>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</si>
  <si>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</si>
  <si>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</si>
  <si>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</si>
  <si>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</si>
  <si>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</si>
  <si>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</si>
  <si>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</si>
  <si>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</si>
  <si>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</si>
  <si>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</si>
  <si>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</si>
  <si>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</si>
  <si>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</si>
  <si>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</si>
  <si>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</si>
  <si>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</si>
  <si>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</si>
  <si>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</si>
  <si>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</si>
  <si>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</si>
  <si>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</si>
  <si>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</si>
  <si>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</si>
  <si>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</si>
  <si>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</si>
  <si>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</si>
  <si>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</si>
  <si>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</si>
  <si>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</si>
  <si>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</si>
  <si>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</si>
  <si>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</si>
  <si>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</si>
  <si>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</si>
  <si>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</si>
  <si>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</si>
  <si>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</si>
  <si>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</si>
  <si>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</si>
  <si>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</si>
  <si>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</si>
  <si>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</si>
  <si>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</si>
  <si>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</si>
  <si>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</si>
  <si>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</si>
  <si>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</si>
  <si>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</si>
  <si>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</si>
  <si>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</si>
  <si>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</si>
  <si>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</si>
  <si>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</si>
  <si>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</si>
  <si>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</si>
  <si>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</si>
  <si>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</si>
  <si>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</si>
  <si>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</si>
  <si>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</si>
  <si>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</si>
  <si>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</si>
  <si>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</si>
  <si>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</si>
  <si>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</si>
  <si>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</si>
  <si>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</si>
  <si>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</si>
  <si>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</si>
  <si>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</si>
  <si>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</si>
  <si>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</si>
  <si>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</si>
  <si>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</si>
  <si>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</si>
  <si>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</si>
  <si>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</si>
  <si>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</si>
  <si>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</si>
  <si>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</si>
  <si>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</si>
  <si>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</si>
  <si>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</si>
  <si>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</si>
  <si>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</si>
  <si>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</si>
  <si>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</si>
  <si>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</si>
  <si>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</si>
  <si>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</si>
  <si>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</si>
  <si>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</si>
  <si>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</si>
  <si>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</si>
  <si>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</si>
  <si>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</si>
  <si>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</si>
  <si>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</si>
  <si>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</si>
  <si>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</si>
  <si>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</si>
  <si>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</si>
  <si>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</si>
  <si>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</si>
  <si>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</si>
  <si>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</si>
  <si>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</si>
  <si>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</si>
  <si>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</si>
  <si>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</si>
  <si>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</si>
  <si>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</si>
  <si>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</si>
  <si>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</si>
  <si>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</si>
  <si>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</si>
  <si>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</si>
  <si>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</si>
  <si>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</si>
  <si>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</si>
  <si>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</si>
  <si>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</si>
  <si>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</si>
  <si>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</si>
  <si>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</si>
  <si>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</si>
  <si>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</si>
  <si>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</si>
  <si>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</si>
  <si>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</si>
  <si>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</si>
  <si>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</si>
  <si>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</si>
  <si>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</si>
  <si>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</si>
  <si>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</si>
  <si>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</si>
  <si>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</si>
  <si>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</si>
  <si>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</si>
  <si>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</si>
  <si>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</si>
  <si>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</si>
  <si>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</si>
  <si>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</si>
  <si>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</si>
  <si>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</si>
  <si>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</si>
  <si>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</si>
  <si>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</si>
  <si>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</si>
  <si>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</si>
  <si>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</si>
  <si>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</si>
  <si>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</si>
  <si>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</si>
  <si>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</si>
  <si>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</si>
  <si>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</si>
  <si>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</si>
  <si>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</si>
  <si>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</si>
  <si>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</si>
  <si>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</si>
  <si>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</si>
  <si>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</si>
  <si>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</si>
  <si>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</si>
  <si>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</si>
  <si>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</si>
  <si>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</si>
  <si>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</si>
  <si>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</si>
  <si>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</si>
  <si>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</si>
  <si>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</si>
  <si>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</si>
  <si>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</si>
  <si>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</si>
  <si>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</si>
  <si>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</si>
  <si>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</si>
  <si>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</si>
  <si>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</si>
  <si>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</si>
  <si>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</si>
  <si>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</si>
  <si>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</si>
  <si>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</si>
  <si>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</si>
  <si>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</si>
  <si>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</si>
  <si>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</si>
  <si>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</si>
  <si>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</si>
  <si>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</si>
  <si>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</si>
  <si>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</si>
  <si>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</si>
  <si>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</si>
  <si>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</si>
  <si>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</si>
  <si>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</si>
  <si>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</si>
  <si>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</si>
  <si>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</si>
  <si>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</si>
  <si>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</si>
  <si>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</si>
  <si>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</si>
  <si>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</si>
  <si>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</si>
  <si>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</si>
  <si>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</si>
  <si>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</si>
  <si>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</si>
  <si>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</si>
  <si>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</si>
  <si>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</si>
  <si>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</si>
  <si>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</si>
  <si>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</si>
  <si>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</si>
  <si>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</si>
  <si>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</si>
  <si>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</si>
  <si>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</si>
  <si>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</si>
  <si>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</si>
  <si>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</si>
  <si>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</si>
  <si>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</si>
  <si>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</si>
  <si>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</si>
  <si>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</si>
  <si>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</si>
  <si>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</si>
  <si>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</si>
  <si>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</si>
  <si>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</si>
  <si>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</si>
  <si>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</si>
  <si>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</si>
  <si>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</si>
  <si>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</si>
  <si>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</si>
  <si>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</si>
  <si>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</si>
  <si>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</si>
  <si>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</si>
  <si>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</si>
  <si>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</si>
  <si>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</si>
  <si>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</si>
  <si>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</si>
  <si>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</si>
  <si>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</si>
  <si>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</si>
  <si>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</si>
  <si>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</si>
  <si>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</si>
  <si>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</si>
  <si>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</si>
  <si>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</si>
  <si>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</si>
  <si>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</si>
  <si>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</si>
  <si>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</si>
  <si>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</si>
  <si>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</si>
  <si>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</si>
  <si>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</si>
  <si>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</si>
  <si>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</si>
  <si>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</si>
  <si>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</si>
  <si>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</si>
  <si>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</si>
  <si>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</si>
  <si>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</si>
  <si>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</si>
  <si>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</si>
  <si>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</si>
  <si>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</si>
  <si>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</si>
  <si>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</si>
  <si>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</si>
  <si>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</si>
  <si>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</si>
  <si>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</si>
  <si>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</si>
  <si>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</si>
  <si>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</si>
  <si>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</si>
  <si>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</si>
  <si>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</si>
  <si>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</si>
  <si>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</si>
  <si>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</si>
  <si>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</si>
  <si>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</si>
  <si>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</si>
  <si>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</si>
  <si>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</si>
  <si>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</si>
  <si>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</si>
  <si>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</si>
  <si>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</si>
  <si>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</si>
  <si>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</si>
  <si>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</si>
  <si>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</si>
  <si>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</si>
  <si>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</si>
  <si>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</si>
  <si>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</si>
  <si>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</si>
  <si>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</si>
  <si>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</si>
  <si>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</si>
  <si>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</si>
  <si>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</si>
  <si>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</si>
  <si>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</si>
  <si>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</si>
  <si>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</si>
  <si>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</si>
  <si>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</si>
  <si>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</si>
  <si>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</si>
  <si>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</si>
  <si>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</si>
  <si>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</si>
  <si>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</si>
  <si>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</si>
  <si>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</si>
  <si>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</si>
  <si>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</si>
  <si>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</si>
  <si>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</si>
  <si>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</si>
  <si>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</si>
  <si>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</si>
  <si>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</si>
  <si>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</si>
  <si>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</si>
  <si>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</si>
  <si>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</si>
  <si>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</si>
  <si>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</si>
  <si>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</si>
  <si>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</si>
  <si>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</si>
  <si>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</si>
  <si>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</si>
  <si>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</si>
  <si>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</si>
  <si>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</si>
  <si>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</si>
  <si>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</si>
  <si>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</si>
  <si>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</si>
  <si>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</si>
  <si>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</si>
  <si>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</si>
  <si>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</si>
  <si>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</si>
  <si>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</si>
  <si>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</si>
  <si>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</si>
  <si>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</si>
  <si>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</si>
  <si>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</si>
  <si>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</si>
  <si>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</si>
  <si>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</si>
  <si>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</si>
  <si>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</si>
  <si>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</si>
  <si>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</si>
  <si>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</si>
  <si>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</si>
  <si>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</si>
  <si>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</si>
  <si>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</si>
  <si>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</si>
  <si>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</si>
  <si>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</si>
  <si>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</si>
  <si>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</si>
  <si>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</si>
  <si>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</si>
  <si>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</si>
  <si>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</si>
  <si>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</si>
  <si>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</si>
  <si>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</si>
  <si>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</si>
  <si>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</si>
  <si>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</si>
  <si>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</si>
  <si>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</si>
  <si>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</si>
  <si>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</si>
  <si>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</si>
  <si>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</si>
  <si>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</si>
  <si>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</si>
  <si>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</si>
  <si>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</si>
  <si>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</si>
  <si>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</si>
  <si>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</si>
  <si>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</si>
  <si>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</si>
  <si>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</si>
  <si>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</si>
  <si>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</si>
  <si>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</si>
  <si>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</si>
  <si>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</si>
  <si>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</si>
  <si>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</si>
  <si>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</si>
  <si>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</si>
  <si>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</si>
  <si>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</si>
  <si>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</si>
  <si>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</si>
  <si>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</si>
  <si>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</si>
  <si>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</si>
  <si>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</si>
  <si>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</si>
  <si>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</si>
  <si>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</si>
  <si>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</si>
  <si>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</si>
  <si>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</si>
  <si>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</si>
  <si>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</si>
  <si>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</si>
  <si>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</si>
  <si>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</si>
  <si>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</si>
  <si>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</si>
  <si>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</si>
  <si>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</si>
  <si>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</si>
  <si>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</si>
  <si>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</si>
  <si>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</si>
  <si>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</si>
  <si>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</si>
  <si>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</si>
  <si>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</si>
  <si>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</si>
  <si>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</si>
  <si>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</si>
  <si>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</si>
  <si>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</si>
  <si>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</si>
  <si>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</si>
  <si>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</si>
  <si>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</si>
  <si>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</si>
  <si>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</si>
  <si>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</si>
  <si>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</si>
  <si>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</si>
  <si>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</si>
  <si>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</si>
  <si>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</si>
  <si>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</si>
  <si>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</si>
  <si>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</si>
  <si>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</si>
  <si>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</si>
  <si>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</si>
  <si>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</si>
  <si>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</si>
  <si>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</si>
  <si>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</si>
  <si>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</si>
  <si>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</si>
  <si>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</si>
  <si>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</si>
  <si>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</si>
  <si>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</si>
  <si>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</si>
  <si>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</si>
  <si>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</si>
  <si>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</si>
  <si>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</si>
  <si>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</si>
  <si>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</si>
  <si>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</si>
  <si>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</si>
  <si>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</si>
  <si>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</si>
  <si>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</si>
  <si>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</si>
  <si>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</si>
  <si>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</si>
  <si>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</si>
  <si>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</si>
  <si>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</si>
  <si>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</si>
  <si>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</si>
  <si>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</si>
  <si>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</si>
  <si>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</si>
  <si>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</si>
  <si>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</si>
  <si>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</si>
  <si>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</si>
  <si>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</si>
  <si>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</si>
  <si>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</si>
  <si>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</si>
  <si>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</si>
  <si>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</si>
  <si>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</si>
  <si>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</si>
  <si>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</si>
  <si>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</si>
  <si>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</si>
  <si>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</si>
  <si>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</si>
  <si>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</si>
  <si>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</si>
  <si>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</si>
  <si>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</si>
  <si>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</si>
  <si>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</si>
  <si>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</si>
  <si>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</si>
  <si>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</si>
  <si>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</si>
  <si>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</si>
  <si>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</si>
  <si>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</si>
  <si>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</si>
  <si>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</si>
  <si>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</si>
  <si>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</si>
  <si>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</si>
  <si>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</si>
  <si>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</si>
  <si>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</si>
  <si>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</si>
  <si>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</si>
  <si>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</si>
  <si>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</si>
  <si>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</si>
  <si>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</si>
  <si>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</si>
  <si>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</si>
  <si>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</si>
  <si>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</si>
  <si>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</si>
  <si>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</si>
  <si>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</si>
  <si>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</si>
  <si>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</si>
  <si>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</si>
  <si>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</si>
  <si>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</si>
  <si>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</si>
  <si>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</si>
  <si>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</si>
  <si>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</si>
  <si>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</si>
  <si>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</si>
  <si>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</si>
  <si>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</si>
  <si>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</si>
  <si>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</si>
  <si>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</si>
  <si>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</si>
  <si>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</si>
  <si>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</si>
  <si>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</si>
  <si>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</si>
  <si>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</si>
  <si>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</si>
  <si>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</si>
  <si>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</si>
  <si>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</si>
  <si>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</si>
  <si>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</si>
  <si>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</si>
  <si>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</si>
  <si>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</si>
  <si>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</si>
  <si>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</si>
  <si>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</si>
  <si>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</si>
  <si>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</si>
  <si>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</si>
  <si>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</si>
  <si>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</si>
  <si>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</si>
  <si>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</si>
  <si>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</si>
  <si>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</si>
  <si>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</si>
  <si>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</si>
  <si>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</si>
  <si>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</si>
  <si>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</si>
  <si>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</si>
  <si>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</si>
  <si>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</si>
  <si>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</si>
  <si>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</si>
  <si>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</si>
  <si>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</si>
  <si>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</si>
  <si>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</si>
  <si>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</si>
  <si>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</si>
  <si>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</si>
  <si>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</si>
  <si>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</si>
  <si>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</si>
  <si>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</si>
  <si>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</si>
  <si>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</si>
  <si>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</si>
  <si>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</si>
  <si>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</si>
  <si>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</si>
  <si>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</si>
  <si>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</si>
  <si>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</si>
  <si>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</si>
  <si>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</si>
  <si>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</si>
  <si>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</si>
  <si>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</si>
  <si>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</si>
  <si>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</si>
  <si>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</si>
  <si>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</si>
  <si>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</si>
  <si>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</si>
  <si>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</si>
  <si>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</si>
  <si>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</si>
  <si>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</si>
  <si>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</si>
  <si>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</si>
  <si>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</si>
  <si>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</si>
  <si>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</si>
  <si>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</si>
  <si>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</si>
  <si>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</si>
  <si>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</si>
  <si>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</si>
  <si>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</si>
  <si>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</si>
  <si>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</si>
  <si>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</si>
  <si>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</si>
  <si>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</si>
  <si>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</si>
  <si>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</si>
  <si>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</si>
  <si>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</si>
  <si>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</si>
  <si>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</si>
  <si>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</si>
  <si>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</si>
  <si>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</si>
  <si>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</si>
  <si>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</si>
  <si>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</si>
  <si>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</si>
  <si>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</si>
  <si>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</si>
  <si>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</si>
  <si>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</si>
  <si>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</si>
  <si>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</si>
  <si>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</si>
  <si>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</si>
  <si>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</si>
  <si>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</si>
  <si>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</si>
  <si>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</si>
  <si>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</si>
  <si>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</si>
  <si>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</si>
  <si>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</si>
  <si>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</si>
  <si>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</si>
  <si>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</si>
  <si>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</si>
  <si>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</si>
  <si>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</si>
  <si>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</si>
  <si>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</si>
  <si>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</si>
  <si>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</si>
  <si>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</si>
  <si>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</si>
  <si>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</si>
  <si>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</si>
  <si>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</si>
  <si>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</si>
  <si>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</si>
  <si>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</si>
  <si>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</si>
  <si>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</si>
  <si>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</si>
  <si>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</si>
  <si>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</si>
  <si>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</si>
  <si>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</si>
  <si>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</si>
  <si>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</si>
  <si>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</si>
  <si>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</si>
  <si>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</si>
  <si>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</si>
  <si>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</si>
  <si>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</si>
  <si>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</si>
  <si>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</si>
  <si>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</si>
  <si>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</si>
  <si>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</si>
  <si>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</si>
  <si>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</si>
  <si>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</si>
  <si>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</si>
  <si>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</si>
  <si>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</si>
  <si>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</si>
  <si>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</si>
  <si>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</si>
  <si>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</si>
  <si>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</si>
  <si>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</si>
  <si>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</si>
  <si>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</si>
  <si>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</si>
  <si>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</si>
  <si>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</si>
  <si>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</si>
  <si>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</si>
  <si>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</si>
  <si>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</si>
  <si>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</si>
  <si>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</si>
  <si>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</si>
  <si>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</si>
  <si>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</si>
  <si>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</si>
  <si>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</si>
  <si>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</si>
  <si>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</si>
  <si>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</si>
  <si>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</si>
  <si>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</si>
  <si>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</si>
  <si>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</si>
  <si>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</si>
  <si>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</si>
  <si>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</si>
  <si>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</si>
  <si>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</si>
  <si>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</si>
  <si>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</si>
  <si>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</si>
  <si>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</si>
  <si>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</si>
  <si>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</si>
  <si>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</si>
  <si>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</si>
  <si>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</si>
  <si>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</si>
  <si>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</si>
  <si>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</si>
  <si>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</si>
  <si>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</si>
  <si>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</si>
  <si>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</si>
  <si>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</si>
  <si>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</si>
  <si>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</si>
  <si>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</si>
  <si>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</si>
  <si>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</si>
  <si>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</si>
  <si>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</si>
  <si>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</si>
  <si>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</si>
  <si>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</si>
  <si>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</si>
  <si>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</si>
  <si>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</si>
  <si>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</si>
  <si>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</si>
  <si>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</si>
  <si>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</si>
  <si>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</si>
  <si>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</si>
  <si>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</si>
  <si>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</si>
  <si>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</si>
  <si>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</si>
  <si>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</si>
  <si>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</si>
  <si>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</si>
  <si>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</si>
  <si>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</si>
  <si>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</si>
  <si>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</si>
  <si>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</si>
  <si>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</si>
  <si>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</si>
  <si>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</si>
  <si>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</si>
  <si>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Average</t>
  </si>
  <si>
    <t xml:space="preserve">Validate Date </t>
  </si>
  <si>
    <t>Standard Deviation</t>
  </si>
  <si>
    <t xml:space="preserve">Average of sales </t>
  </si>
  <si>
    <t>Stdev</t>
  </si>
  <si>
    <t>Outlier</t>
  </si>
  <si>
    <t>Shipping Days</t>
  </si>
  <si>
    <t>Profit Margin</t>
  </si>
  <si>
    <t>Sales After Discount</t>
  </si>
  <si>
    <t>Row Labels</t>
  </si>
  <si>
    <t>Grand Total</t>
  </si>
  <si>
    <t>Sum of Sales</t>
  </si>
  <si>
    <t>Sum of Profit</t>
  </si>
  <si>
    <t xml:space="preserve">      Category - Wise Performance</t>
  </si>
  <si>
    <t xml:space="preserve">  Regional Sales &amp; Profit Summary</t>
  </si>
  <si>
    <t xml:space="preserve">     Sub - Category Profitability</t>
  </si>
  <si>
    <t xml:space="preserve">   Segment-Wise Sales &amp; Profit</t>
  </si>
  <si>
    <t xml:space="preserve">   Discount vs Profit Analysis</t>
  </si>
  <si>
    <t xml:space="preserve">      Ship Mode Efficiency</t>
  </si>
  <si>
    <t>Average of Shipping Days</t>
  </si>
  <si>
    <t>Average of Profit Margin</t>
  </si>
  <si>
    <t xml:space="preserve"> </t>
  </si>
  <si>
    <t>sub  category</t>
  </si>
  <si>
    <t xml:space="preserve">sum of profit </t>
  </si>
  <si>
    <t>Count of Order ID</t>
  </si>
  <si>
    <t xml:space="preserve">                                                                                              Superstore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</si>
</sst>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20"/>
      <color theme="1"/>
      <name val="Calibri"/>
      <family val="2"/>
      <scheme val="minor"/>
    </font>
    <font>
      <b/>
      <sz val="26"/>
      <color theme="3"/>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0" borderId="0" xfId="0" applyFont="1"/>
    <xf numFmtId="2" fontId="0" fillId="0" borderId="0" xfId="0" applyNumberFormat="1" applyAlignment="1">
      <alignment horizontal="left"/>
    </xf>
    <xf numFmtId="0" fontId="1" fillId="2" borderId="1" xfId="0" applyFont="1" applyFill="1" applyBorder="1" applyAlignment="1">
      <alignment horizontal="left"/>
    </xf>
    <xf numFmtId="0" fontId="1" fillId="2" borderId="1" xfId="0" applyFont="1" applyFill="1" applyBorder="1"/>
    <xf numFmtId="0" fontId="3" fillId="0" borderId="0" xfId="0" applyFont="1"/>
    <xf numFmtId="0" fontId="4" fillId="0" borderId="0" xfId="0" applyFont="1"/>
  </cellXfs>
  <cellStyles count="1">
    <cellStyle name="Normal" xfId="0" builtinId="0"/>
  </cellStyles>
  <dxfs count="2">
    <dxf>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&amp; profit Summary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EDA!$B$4</c:f>
              <c:strCache>
                <c:ptCount val="1"/>
                <c:pt idx="0">
                  <c:v>Sum of Sales</c:v>
                </c:pt>
              </c:strCache>
            </c:strRef>
          </c:tx>
          <c:spPr>
            <a:solidFill>
              <a:schemeClr val="accent1"/>
            </a:solidFill>
            <a:ln>
              <a:noFill/>
            </a:ln>
            <a:effectLst/>
          </c:spPr>
          <c:invertIfNegative val="0"/>
          <c:cat>
            <c:strRef>
              <c:f>EDA!$A$5:$A$9</c:f>
              <c:strCache>
                <c:ptCount val="4"/>
                <c:pt idx="0">
                  <c:v>Central</c:v>
                </c:pt>
                <c:pt idx="1">
                  <c:v>East</c:v>
                </c:pt>
                <c:pt idx="2">
                  <c:v>South</c:v>
                </c:pt>
                <c:pt idx="3">
                  <c:v>West</c:v>
                </c:pt>
              </c:strCache>
            </c:strRef>
          </c:cat>
          <c:val>
            <c:numRef>
              <c:f>EDA!$B$5:$B$9</c:f>
              <c:numCache>
                <c:formatCode>General</c:formatCode>
                <c:ptCount val="4"/>
                <c:pt idx="0">
                  <c:v>31969.712199999994</c:v>
                </c:pt>
                <c:pt idx="1">
                  <c:v>18005.804</c:v>
                </c:pt>
                <c:pt idx="2">
                  <c:v>13626.858999999997</c:v>
                </c:pt>
                <c:pt idx="3">
                  <c:v>25144.108999999989</c:v>
                </c:pt>
              </c:numCache>
            </c:numRef>
          </c:val>
          <c:extLst>
            <c:ext xmlns:c16="http://schemas.microsoft.com/office/drawing/2014/chart" uri="{C3380CC4-5D6E-409C-BE32-E72D297353CC}">
              <c16:uniqueId val="{00000000-812E-42F0-9B60-E4DC41E7CE4F}"/>
            </c:ext>
          </c:extLst>
        </c:ser>
        <c:ser>
          <c:idx val="1"/>
          <c:order val="1"/>
          <c:tx>
            <c:strRef>
              <c:f>EDA!$C$4</c:f>
              <c:strCache>
                <c:ptCount val="1"/>
                <c:pt idx="0">
                  <c:v>Sum of Profit</c:v>
                </c:pt>
              </c:strCache>
            </c:strRef>
          </c:tx>
          <c:spPr>
            <a:solidFill>
              <a:schemeClr val="accent2"/>
            </a:solidFill>
            <a:ln>
              <a:noFill/>
            </a:ln>
            <a:effectLst/>
          </c:spPr>
          <c:invertIfNegative val="0"/>
          <c:cat>
            <c:strRef>
              <c:f>EDA!$A$5:$A$9</c:f>
              <c:strCache>
                <c:ptCount val="4"/>
                <c:pt idx="0">
                  <c:v>Central</c:v>
                </c:pt>
                <c:pt idx="1">
                  <c:v>East</c:v>
                </c:pt>
                <c:pt idx="2">
                  <c:v>South</c:v>
                </c:pt>
                <c:pt idx="3">
                  <c:v>West</c:v>
                </c:pt>
              </c:strCache>
            </c:strRef>
          </c:cat>
          <c:val>
            <c:numRef>
              <c:f>EDA!$C$5:$C$9</c:f>
              <c:numCache>
                <c:formatCode>General</c:formatCode>
                <c:ptCount val="4"/>
                <c:pt idx="0">
                  <c:v>-1184.0349999999994</c:v>
                </c:pt>
                <c:pt idx="1">
                  <c:v>-1284.7108999999994</c:v>
                </c:pt>
                <c:pt idx="2">
                  <c:v>3022.6464999999998</c:v>
                </c:pt>
                <c:pt idx="3">
                  <c:v>2719.2091999999993</c:v>
                </c:pt>
              </c:numCache>
            </c:numRef>
          </c:val>
          <c:extLst>
            <c:ext xmlns:c16="http://schemas.microsoft.com/office/drawing/2014/chart" uri="{C3380CC4-5D6E-409C-BE32-E72D297353CC}">
              <c16:uniqueId val="{00000001-812E-42F0-9B60-E4DC41E7CE4F}"/>
            </c:ext>
          </c:extLst>
        </c:ser>
        <c:dLbls>
          <c:showLegendKey val="0"/>
          <c:showVal val="0"/>
          <c:showCatName val="0"/>
          <c:showSerName val="0"/>
          <c:showPercent val="0"/>
          <c:showBubbleSize val="0"/>
        </c:dLbls>
        <c:gapWidth val="219"/>
        <c:overlap val="-27"/>
        <c:axId val="207604303"/>
        <c:axId val="207604783"/>
      </c:barChart>
      <c:catAx>
        <c:axId val="207604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4783"/>
        <c:crosses val="autoZero"/>
        <c:auto val="1"/>
        <c:lblAlgn val="ctr"/>
        <c:lblOffset val="100"/>
        <c:noMultiLvlLbl val="0"/>
      </c:catAx>
      <c:valAx>
        <c:axId val="20760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&amp;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EDA!$B$15</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6D-4EEC-8816-1BC9333694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6D-4EEC-8816-1BC9333694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6D-4EEC-8816-1BC9333694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EDA!$A$16:$A$19</c:f>
              <c:strCache>
                <c:ptCount val="3"/>
                <c:pt idx="0">
                  <c:v>Furniture</c:v>
                </c:pt>
                <c:pt idx="1">
                  <c:v>Office Supplies</c:v>
                </c:pt>
                <c:pt idx="2">
                  <c:v>Technology</c:v>
                </c:pt>
              </c:strCache>
            </c:strRef>
          </c:cat>
          <c:val>
            <c:numRef>
              <c:f>EDA!$B$16:$B$19</c:f>
              <c:numCache>
                <c:formatCode>General</c:formatCode>
                <c:ptCount val="3"/>
                <c:pt idx="0">
                  <c:v>48374.098099999988</c:v>
                </c:pt>
                <c:pt idx="1">
                  <c:v>41308.25099999996</c:v>
                </c:pt>
                <c:pt idx="2">
                  <c:v>57207.967000000011</c:v>
                </c:pt>
              </c:numCache>
            </c:numRef>
          </c:val>
          <c:extLst>
            <c:ext xmlns:c16="http://schemas.microsoft.com/office/drawing/2014/chart" uri="{C3380CC4-5D6E-409C-BE32-E72D297353CC}">
              <c16:uniqueId val="{00000000-9165-48BC-9392-9E36E96B8E27}"/>
            </c:ext>
          </c:extLst>
        </c:ser>
        <c:ser>
          <c:idx val="1"/>
          <c:order val="1"/>
          <c:tx>
            <c:strRef>
              <c:f>EDA!$C$15</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06D-4EEC-8816-1BC9333694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06D-4EEC-8816-1BC9333694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06D-4EEC-8816-1BC9333694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EDA!$A$16:$A$19</c:f>
              <c:strCache>
                <c:ptCount val="3"/>
                <c:pt idx="0">
                  <c:v>Furniture</c:v>
                </c:pt>
                <c:pt idx="1">
                  <c:v>Office Supplies</c:v>
                </c:pt>
                <c:pt idx="2">
                  <c:v>Technology</c:v>
                </c:pt>
              </c:strCache>
            </c:strRef>
          </c:cat>
          <c:val>
            <c:numRef>
              <c:f>EDA!$C$16:$C$19</c:f>
              <c:numCache>
                <c:formatCode>General</c:formatCode>
                <c:ptCount val="3"/>
                <c:pt idx="0">
                  <c:v>-2958.0823000000005</c:v>
                </c:pt>
                <c:pt idx="1">
                  <c:v>7180.358699999998</c:v>
                </c:pt>
                <c:pt idx="2">
                  <c:v>6195.048899999998</c:v>
                </c:pt>
              </c:numCache>
            </c:numRef>
          </c:val>
          <c:extLst>
            <c:ext xmlns:c16="http://schemas.microsoft.com/office/drawing/2014/chart" uri="{C3380CC4-5D6E-409C-BE32-E72D297353CC}">
              <c16:uniqueId val="{00000001-9165-48BC-9392-9E36E96B8E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wise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EDA!$B$49</c:f>
              <c:strCache>
                <c:ptCount val="1"/>
                <c:pt idx="0">
                  <c:v>Sum of Sales</c:v>
                </c:pt>
              </c:strCache>
            </c:strRef>
          </c:tx>
          <c:spPr>
            <a:solidFill>
              <a:schemeClr val="accent1"/>
            </a:solidFill>
            <a:ln>
              <a:noFill/>
            </a:ln>
            <a:effectLst/>
          </c:spPr>
          <c:invertIfNegative val="0"/>
          <c:cat>
            <c:strRef>
              <c:f>EDA!$A$50:$A$51</c:f>
              <c:strCache>
                <c:ptCount val="1"/>
                <c:pt idx="0">
                  <c:v>Consumer</c:v>
                </c:pt>
              </c:strCache>
            </c:strRef>
          </c:cat>
          <c:val>
            <c:numRef>
              <c:f>EDA!$B$50:$B$51</c:f>
              <c:numCache>
                <c:formatCode>General</c:formatCode>
                <c:ptCount val="1"/>
                <c:pt idx="0">
                  <c:v>80466.691599999933</c:v>
                </c:pt>
              </c:numCache>
            </c:numRef>
          </c:val>
          <c:extLst>
            <c:ext xmlns:c16="http://schemas.microsoft.com/office/drawing/2014/chart" uri="{C3380CC4-5D6E-409C-BE32-E72D297353CC}">
              <c16:uniqueId val="{00000000-E260-4566-B175-529D34F6001F}"/>
            </c:ext>
          </c:extLst>
        </c:ser>
        <c:ser>
          <c:idx val="1"/>
          <c:order val="1"/>
          <c:tx>
            <c:strRef>
              <c:f>EDA!$C$49</c:f>
              <c:strCache>
                <c:ptCount val="1"/>
                <c:pt idx="0">
                  <c:v>Sum of Profit</c:v>
                </c:pt>
              </c:strCache>
            </c:strRef>
          </c:tx>
          <c:spPr>
            <a:solidFill>
              <a:schemeClr val="accent2"/>
            </a:solidFill>
            <a:ln>
              <a:noFill/>
            </a:ln>
            <a:effectLst/>
          </c:spPr>
          <c:invertIfNegative val="0"/>
          <c:cat>
            <c:strRef>
              <c:f>EDA!$A$50:$A$51</c:f>
              <c:strCache>
                <c:ptCount val="1"/>
                <c:pt idx="0">
                  <c:v>Consumer</c:v>
                </c:pt>
              </c:strCache>
            </c:strRef>
          </c:cat>
          <c:val>
            <c:numRef>
              <c:f>EDA!$C$50:$C$51</c:f>
              <c:numCache>
                <c:formatCode>General</c:formatCode>
                <c:ptCount val="1"/>
                <c:pt idx="0">
                  <c:v>4636.421699999999</c:v>
                </c:pt>
              </c:numCache>
            </c:numRef>
          </c:val>
          <c:extLst>
            <c:ext xmlns:c16="http://schemas.microsoft.com/office/drawing/2014/chart" uri="{C3380CC4-5D6E-409C-BE32-E72D297353CC}">
              <c16:uniqueId val="{00000001-E260-4566-B175-529D34F6001F}"/>
            </c:ext>
          </c:extLst>
        </c:ser>
        <c:dLbls>
          <c:showLegendKey val="0"/>
          <c:showVal val="0"/>
          <c:showCatName val="0"/>
          <c:showSerName val="0"/>
          <c:showPercent val="0"/>
          <c:showBubbleSize val="0"/>
        </c:dLbls>
        <c:gapWidth val="182"/>
        <c:axId val="211697839"/>
        <c:axId val="211694959"/>
      </c:barChart>
      <c:catAx>
        <c:axId val="211697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4959"/>
        <c:crosses val="autoZero"/>
        <c:auto val="1"/>
        <c:lblAlgn val="ctr"/>
        <c:lblOffset val="100"/>
        <c:noMultiLvlLbl val="0"/>
      </c:catAx>
      <c:valAx>
        <c:axId val="211694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&amp;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mode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EDA!$B$78</c:f>
              <c:strCache>
                <c:ptCount val="1"/>
                <c:pt idx="0">
                  <c:v>Total</c:v>
                </c:pt>
              </c:strCache>
            </c:strRef>
          </c:tx>
          <c:spPr>
            <a:ln w="28575" cap="rnd">
              <a:solidFill>
                <a:schemeClr val="accent1"/>
              </a:solidFill>
              <a:round/>
            </a:ln>
            <a:effectLst/>
          </c:spPr>
          <c:marker>
            <c:symbol val="none"/>
          </c:marker>
          <c:cat>
            <c:strRef>
              <c:f>EDA!$A$79:$A$82</c:f>
              <c:strCache>
                <c:ptCount val="3"/>
                <c:pt idx="0">
                  <c:v>First Class</c:v>
                </c:pt>
                <c:pt idx="1">
                  <c:v>Second Class</c:v>
                </c:pt>
                <c:pt idx="2">
                  <c:v>Standard Class</c:v>
                </c:pt>
              </c:strCache>
            </c:strRef>
          </c:cat>
          <c:val>
            <c:numRef>
              <c:f>EDA!$B$79:$B$82</c:f>
              <c:numCache>
                <c:formatCode>General</c:formatCode>
                <c:ptCount val="3"/>
                <c:pt idx="0">
                  <c:v>2.1489361702127661</c:v>
                </c:pt>
                <c:pt idx="1">
                  <c:v>3.2105263157894739</c:v>
                </c:pt>
                <c:pt idx="2">
                  <c:v>5.0721003134796234</c:v>
                </c:pt>
              </c:numCache>
            </c:numRef>
          </c:val>
          <c:smooth val="0"/>
          <c:extLst>
            <c:ext xmlns:c16="http://schemas.microsoft.com/office/drawing/2014/chart" uri="{C3380CC4-5D6E-409C-BE32-E72D297353CC}">
              <c16:uniqueId val="{00000000-BA6A-4117-9833-5CEB2863E45E}"/>
            </c:ext>
          </c:extLst>
        </c:ser>
        <c:dLbls>
          <c:showLegendKey val="0"/>
          <c:showVal val="0"/>
          <c:showCatName val="0"/>
          <c:showSerName val="0"/>
          <c:showPercent val="0"/>
          <c:showBubbleSize val="0"/>
        </c:dLbls>
        <c:smooth val="0"/>
        <c:axId val="211702639"/>
        <c:axId val="211705999"/>
      </c:lineChart>
      <c:catAx>
        <c:axId val="211702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Shipping</a:t>
                </a:r>
                <a:r>
                  <a:rPr lang="en-IN" baseline="0"/>
                  <a:t> mode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5999"/>
        <c:crosses val="autoZero"/>
        <c:auto val="1"/>
        <c:lblAlgn val="ctr"/>
        <c:lblOffset val="100"/>
        <c:noMultiLvlLbl val="0"/>
      </c:catAx>
      <c:valAx>
        <c:axId val="21170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shipping days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EDA!$B$59</c:f>
              <c:strCache>
                <c:ptCount val="1"/>
                <c:pt idx="0">
                  <c:v>Total</c:v>
                </c:pt>
              </c:strCache>
            </c:strRef>
          </c:tx>
          <c:spPr>
            <a:ln w="28575" cap="rnd">
              <a:solidFill>
                <a:schemeClr val="accent1"/>
              </a:solidFill>
              <a:round/>
            </a:ln>
            <a:effectLst/>
          </c:spPr>
          <c:marker>
            <c:symbol val="none"/>
          </c:marker>
          <c:cat>
            <c:strRef>
              <c:f>EDA!$A$60:$A$72</c:f>
              <c:strCache>
                <c:ptCount val="12"/>
                <c:pt idx="0">
                  <c:v>0.00</c:v>
                </c:pt>
                <c:pt idx="1">
                  <c:v>0.10</c:v>
                </c:pt>
                <c:pt idx="2">
                  <c:v>0.15</c:v>
                </c:pt>
                <c:pt idx="3">
                  <c:v>0.20</c:v>
                </c:pt>
                <c:pt idx="4">
                  <c:v>0.30</c:v>
                </c:pt>
                <c:pt idx="5">
                  <c:v>0.32</c:v>
                </c:pt>
                <c:pt idx="6">
                  <c:v>0.40</c:v>
                </c:pt>
                <c:pt idx="7">
                  <c:v>0.45</c:v>
                </c:pt>
                <c:pt idx="8">
                  <c:v>0.50</c:v>
                </c:pt>
                <c:pt idx="9">
                  <c:v>0.60</c:v>
                </c:pt>
                <c:pt idx="10">
                  <c:v>0.70</c:v>
                </c:pt>
                <c:pt idx="11">
                  <c:v>0.80</c:v>
                </c:pt>
              </c:strCache>
            </c:strRef>
          </c:cat>
          <c:val>
            <c:numRef>
              <c:f>EDA!$B$60:$B$72</c:f>
              <c:numCache>
                <c:formatCode>General</c:formatCode>
                <c:ptCount val="12"/>
                <c:pt idx="0">
                  <c:v>0.33677685950413194</c:v>
                </c:pt>
                <c:pt idx="1">
                  <c:v>9.7222222222222224E-2</c:v>
                </c:pt>
                <c:pt idx="2">
                  <c:v>3.9215686274509777E-3</c:v>
                </c:pt>
                <c:pt idx="3">
                  <c:v>0.15975467289719619</c:v>
                </c:pt>
                <c:pt idx="4">
                  <c:v>-8.2857142857142865E-2</c:v>
                </c:pt>
                <c:pt idx="5">
                  <c:v>-0.13235294117647059</c:v>
                </c:pt>
                <c:pt idx="6">
                  <c:v>-0.2</c:v>
                </c:pt>
                <c:pt idx="7">
                  <c:v>-0.41363636363636364</c:v>
                </c:pt>
                <c:pt idx="8">
                  <c:v>-0.62</c:v>
                </c:pt>
                <c:pt idx="9">
                  <c:v>-0.80833333333333335</c:v>
                </c:pt>
                <c:pt idx="10">
                  <c:v>-0.73589743589743584</c:v>
                </c:pt>
                <c:pt idx="11">
                  <c:v>-1.9411764705882353</c:v>
                </c:pt>
              </c:numCache>
            </c:numRef>
          </c:val>
          <c:smooth val="0"/>
          <c:extLst>
            <c:ext xmlns:c16="http://schemas.microsoft.com/office/drawing/2014/chart" uri="{C3380CC4-5D6E-409C-BE32-E72D297353CC}">
              <c16:uniqueId val="{00000000-3C63-451C-A553-0BECC14FAF90}"/>
            </c:ext>
          </c:extLst>
        </c:ser>
        <c:dLbls>
          <c:showLegendKey val="0"/>
          <c:showVal val="0"/>
          <c:showCatName val="0"/>
          <c:showSerName val="0"/>
          <c:showPercent val="0"/>
          <c:showBubbleSize val="0"/>
        </c:dLbls>
        <c:smooth val="0"/>
        <c:axId val="247044063"/>
        <c:axId val="247040703"/>
      </c:lineChart>
      <c:catAx>
        <c:axId val="24704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40703"/>
        <c:crosses val="autoZero"/>
        <c:auto val="1"/>
        <c:lblAlgn val="ctr"/>
        <c:lblOffset val="100"/>
        <c:noMultiLvlLbl val="0"/>
      </c:catAx>
      <c:valAx>
        <c:axId val="247040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profit margin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4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Sub-Category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solidFill>
            <a:ln>
              <a:noFill/>
            </a:ln>
            <a:effectLst/>
            <a:sp3d/>
          </c:spPr>
          <c:invertIfNegative val="0"/>
          <c:cat>
            <c:strRef>
              <c:f>EDA!$M$33:$M$37</c:f>
              <c:strCache>
                <c:ptCount val="5"/>
                <c:pt idx="0">
                  <c:v>Binders</c:v>
                </c:pt>
                <c:pt idx="1">
                  <c:v>Copiers</c:v>
                </c:pt>
                <c:pt idx="2">
                  <c:v>Phones</c:v>
                </c:pt>
                <c:pt idx="3">
                  <c:v>Accessories</c:v>
                </c:pt>
                <c:pt idx="4">
                  <c:v>Chairs</c:v>
                </c:pt>
              </c:strCache>
            </c:strRef>
          </c:cat>
          <c:val>
            <c:numRef>
              <c:f>EDA!$N$33:$N$37</c:f>
              <c:numCache>
                <c:formatCode>General</c:formatCode>
                <c:ptCount val="5"/>
                <c:pt idx="0">
                  <c:v>4167.9371000000001</c:v>
                </c:pt>
                <c:pt idx="1">
                  <c:v>2852.951</c:v>
                </c:pt>
                <c:pt idx="2">
                  <c:v>2692.3593000000005</c:v>
                </c:pt>
                <c:pt idx="3">
                  <c:v>2374.4669999999992</c:v>
                </c:pt>
                <c:pt idx="4">
                  <c:v>1661.9816000000003</c:v>
                </c:pt>
              </c:numCache>
            </c:numRef>
          </c:val>
          <c:extLst>
            <c:ext xmlns:c16="http://schemas.microsoft.com/office/drawing/2014/chart" uri="{C3380CC4-5D6E-409C-BE32-E72D297353CC}">
              <c16:uniqueId val="{00000000-454C-4F93-B744-479A47031FCD}"/>
            </c:ext>
          </c:extLst>
        </c:ser>
        <c:dLbls>
          <c:showLegendKey val="0"/>
          <c:showVal val="0"/>
          <c:showCatName val="0"/>
          <c:showSerName val="0"/>
          <c:showPercent val="0"/>
          <c:showBubbleSize val="0"/>
        </c:dLbls>
        <c:gapWidth val="150"/>
        <c:shape val="box"/>
        <c:axId val="247513183"/>
        <c:axId val="247529983"/>
        <c:axId val="0"/>
      </c:bar3DChart>
      <c:catAx>
        <c:axId val="247513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a:t>
                </a:r>
                <a:r>
                  <a:rPr lang="en-IN" baseline="0"/>
                  <a:t> 5 sub category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529983"/>
        <c:crosses val="autoZero"/>
        <c:auto val="1"/>
        <c:lblAlgn val="ctr"/>
        <c:lblOffset val="100"/>
        <c:noMultiLvlLbl val="0"/>
      </c:catAx>
      <c:valAx>
        <c:axId val="247529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51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&amp; profit Summary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EDA!$B$4</c:f>
              <c:strCache>
                <c:ptCount val="1"/>
                <c:pt idx="0">
                  <c:v>Sum of Sales</c:v>
                </c:pt>
              </c:strCache>
            </c:strRef>
          </c:tx>
          <c:spPr>
            <a:solidFill>
              <a:schemeClr val="accent1"/>
            </a:solidFill>
            <a:ln>
              <a:noFill/>
            </a:ln>
            <a:effectLst/>
          </c:spPr>
          <c:invertIfNegative val="0"/>
          <c:cat>
            <c:strRef>
              <c:f>EDA!$A$5:$A$9</c:f>
              <c:strCache>
                <c:ptCount val="4"/>
                <c:pt idx="0">
                  <c:v>Central</c:v>
                </c:pt>
                <c:pt idx="1">
                  <c:v>East</c:v>
                </c:pt>
                <c:pt idx="2">
                  <c:v>South</c:v>
                </c:pt>
                <c:pt idx="3">
                  <c:v>West</c:v>
                </c:pt>
              </c:strCache>
            </c:strRef>
          </c:cat>
          <c:val>
            <c:numRef>
              <c:f>EDA!$B$5:$B$9</c:f>
              <c:numCache>
                <c:formatCode>General</c:formatCode>
                <c:ptCount val="4"/>
                <c:pt idx="0">
                  <c:v>31969.712199999994</c:v>
                </c:pt>
                <c:pt idx="1">
                  <c:v>18005.804</c:v>
                </c:pt>
                <c:pt idx="2">
                  <c:v>13626.858999999997</c:v>
                </c:pt>
                <c:pt idx="3">
                  <c:v>25144.108999999989</c:v>
                </c:pt>
              </c:numCache>
            </c:numRef>
          </c:val>
          <c:extLst>
            <c:ext xmlns:c16="http://schemas.microsoft.com/office/drawing/2014/chart" uri="{C3380CC4-5D6E-409C-BE32-E72D297353CC}">
              <c16:uniqueId val="{00000000-9B3C-476B-86EE-895B2C6FB494}"/>
            </c:ext>
          </c:extLst>
        </c:ser>
        <c:ser>
          <c:idx val="1"/>
          <c:order val="1"/>
          <c:tx>
            <c:strRef>
              <c:f>EDA!$C$4</c:f>
              <c:strCache>
                <c:ptCount val="1"/>
                <c:pt idx="0">
                  <c:v>Sum of Profit</c:v>
                </c:pt>
              </c:strCache>
            </c:strRef>
          </c:tx>
          <c:spPr>
            <a:solidFill>
              <a:schemeClr val="accent2"/>
            </a:solidFill>
            <a:ln>
              <a:noFill/>
            </a:ln>
            <a:effectLst/>
          </c:spPr>
          <c:invertIfNegative val="0"/>
          <c:cat>
            <c:strRef>
              <c:f>EDA!$A$5:$A$9</c:f>
              <c:strCache>
                <c:ptCount val="4"/>
                <c:pt idx="0">
                  <c:v>Central</c:v>
                </c:pt>
                <c:pt idx="1">
                  <c:v>East</c:v>
                </c:pt>
                <c:pt idx="2">
                  <c:v>South</c:v>
                </c:pt>
                <c:pt idx="3">
                  <c:v>West</c:v>
                </c:pt>
              </c:strCache>
            </c:strRef>
          </c:cat>
          <c:val>
            <c:numRef>
              <c:f>EDA!$C$5:$C$9</c:f>
              <c:numCache>
                <c:formatCode>General</c:formatCode>
                <c:ptCount val="4"/>
                <c:pt idx="0">
                  <c:v>-1184.0349999999994</c:v>
                </c:pt>
                <c:pt idx="1">
                  <c:v>-1284.7108999999994</c:v>
                </c:pt>
                <c:pt idx="2">
                  <c:v>3022.6464999999998</c:v>
                </c:pt>
                <c:pt idx="3">
                  <c:v>2719.2091999999993</c:v>
                </c:pt>
              </c:numCache>
            </c:numRef>
          </c:val>
          <c:extLst>
            <c:ext xmlns:c16="http://schemas.microsoft.com/office/drawing/2014/chart" uri="{C3380CC4-5D6E-409C-BE32-E72D297353CC}">
              <c16:uniqueId val="{00000001-9B3C-476B-86EE-895B2C6FB494}"/>
            </c:ext>
          </c:extLst>
        </c:ser>
        <c:dLbls>
          <c:showLegendKey val="0"/>
          <c:showVal val="0"/>
          <c:showCatName val="0"/>
          <c:showSerName val="0"/>
          <c:showPercent val="0"/>
          <c:showBubbleSize val="0"/>
        </c:dLbls>
        <c:gapWidth val="219"/>
        <c:overlap val="-27"/>
        <c:axId val="207604303"/>
        <c:axId val="207604783"/>
      </c:barChart>
      <c:catAx>
        <c:axId val="207604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4783"/>
        <c:crosses val="autoZero"/>
        <c:auto val="1"/>
        <c:lblAlgn val="ctr"/>
        <c:lblOffset val="100"/>
        <c:noMultiLvlLbl val="0"/>
      </c:catAx>
      <c:valAx>
        <c:axId val="20760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&amp;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EDA!$B$15</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00-4205-8070-E1DB03720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00-4205-8070-E1DB03720B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00-4205-8070-E1DB03720B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EDA!$A$16:$A$19</c:f>
              <c:strCache>
                <c:ptCount val="3"/>
                <c:pt idx="0">
                  <c:v>Furniture</c:v>
                </c:pt>
                <c:pt idx="1">
                  <c:v>Office Supplies</c:v>
                </c:pt>
                <c:pt idx="2">
                  <c:v>Technology</c:v>
                </c:pt>
              </c:strCache>
            </c:strRef>
          </c:cat>
          <c:val>
            <c:numRef>
              <c:f>EDA!$B$16:$B$19</c:f>
              <c:numCache>
                <c:formatCode>General</c:formatCode>
                <c:ptCount val="3"/>
                <c:pt idx="0">
                  <c:v>48374.098099999988</c:v>
                </c:pt>
                <c:pt idx="1">
                  <c:v>41308.25099999996</c:v>
                </c:pt>
                <c:pt idx="2">
                  <c:v>57207.967000000011</c:v>
                </c:pt>
              </c:numCache>
            </c:numRef>
          </c:val>
          <c:extLst>
            <c:ext xmlns:c16="http://schemas.microsoft.com/office/drawing/2014/chart" uri="{C3380CC4-5D6E-409C-BE32-E72D297353CC}">
              <c16:uniqueId val="{00000006-6B00-4205-8070-E1DB03720B52}"/>
            </c:ext>
          </c:extLst>
        </c:ser>
        <c:ser>
          <c:idx val="1"/>
          <c:order val="1"/>
          <c:tx>
            <c:strRef>
              <c:f>EDA!$C$15</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B00-4205-8070-E1DB03720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B00-4205-8070-E1DB03720B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6B00-4205-8070-E1DB03720B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EDA!$A$16:$A$19</c:f>
              <c:strCache>
                <c:ptCount val="3"/>
                <c:pt idx="0">
                  <c:v>Furniture</c:v>
                </c:pt>
                <c:pt idx="1">
                  <c:v>Office Supplies</c:v>
                </c:pt>
                <c:pt idx="2">
                  <c:v>Technology</c:v>
                </c:pt>
              </c:strCache>
            </c:strRef>
          </c:cat>
          <c:val>
            <c:numRef>
              <c:f>EDA!$C$16:$C$19</c:f>
              <c:numCache>
                <c:formatCode>General</c:formatCode>
                <c:ptCount val="3"/>
                <c:pt idx="0">
                  <c:v>-2958.0823000000005</c:v>
                </c:pt>
                <c:pt idx="1">
                  <c:v>7180.358699999998</c:v>
                </c:pt>
                <c:pt idx="2">
                  <c:v>6195.048899999998</c:v>
                </c:pt>
              </c:numCache>
            </c:numRef>
          </c:val>
          <c:extLst>
            <c:ext xmlns:c16="http://schemas.microsoft.com/office/drawing/2014/chart" uri="{C3380CC4-5D6E-409C-BE32-E72D297353CC}">
              <c16:uniqueId val="{0000000D-6B00-4205-8070-E1DB03720B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EDA!$B$59</c:f>
              <c:strCache>
                <c:ptCount val="1"/>
                <c:pt idx="0">
                  <c:v>Total</c:v>
                </c:pt>
              </c:strCache>
            </c:strRef>
          </c:tx>
          <c:spPr>
            <a:ln w="28575" cap="rnd">
              <a:solidFill>
                <a:schemeClr val="accent1"/>
              </a:solidFill>
              <a:round/>
            </a:ln>
            <a:effectLst/>
          </c:spPr>
          <c:marker>
            <c:symbol val="none"/>
          </c:marker>
          <c:cat>
            <c:strRef>
              <c:f>EDA!$A$60:$A$72</c:f>
              <c:strCache>
                <c:ptCount val="12"/>
                <c:pt idx="0">
                  <c:v>0.00</c:v>
                </c:pt>
                <c:pt idx="1">
                  <c:v>0.10</c:v>
                </c:pt>
                <c:pt idx="2">
                  <c:v>0.15</c:v>
                </c:pt>
                <c:pt idx="3">
                  <c:v>0.20</c:v>
                </c:pt>
                <c:pt idx="4">
                  <c:v>0.30</c:v>
                </c:pt>
                <c:pt idx="5">
                  <c:v>0.32</c:v>
                </c:pt>
                <c:pt idx="6">
                  <c:v>0.40</c:v>
                </c:pt>
                <c:pt idx="7">
                  <c:v>0.45</c:v>
                </c:pt>
                <c:pt idx="8">
                  <c:v>0.50</c:v>
                </c:pt>
                <c:pt idx="9">
                  <c:v>0.60</c:v>
                </c:pt>
                <c:pt idx="10">
                  <c:v>0.70</c:v>
                </c:pt>
                <c:pt idx="11">
                  <c:v>0.80</c:v>
                </c:pt>
              </c:strCache>
            </c:strRef>
          </c:cat>
          <c:val>
            <c:numRef>
              <c:f>EDA!$B$60:$B$72</c:f>
              <c:numCache>
                <c:formatCode>General</c:formatCode>
                <c:ptCount val="12"/>
                <c:pt idx="0">
                  <c:v>0.33677685950413194</c:v>
                </c:pt>
                <c:pt idx="1">
                  <c:v>9.7222222222222224E-2</c:v>
                </c:pt>
                <c:pt idx="2">
                  <c:v>3.9215686274509777E-3</c:v>
                </c:pt>
                <c:pt idx="3">
                  <c:v>0.15975467289719619</c:v>
                </c:pt>
                <c:pt idx="4">
                  <c:v>-8.2857142857142865E-2</c:v>
                </c:pt>
                <c:pt idx="5">
                  <c:v>-0.13235294117647059</c:v>
                </c:pt>
                <c:pt idx="6">
                  <c:v>-0.2</c:v>
                </c:pt>
                <c:pt idx="7">
                  <c:v>-0.41363636363636364</c:v>
                </c:pt>
                <c:pt idx="8">
                  <c:v>-0.62</c:v>
                </c:pt>
                <c:pt idx="9">
                  <c:v>-0.80833333333333335</c:v>
                </c:pt>
                <c:pt idx="10">
                  <c:v>-0.73589743589743584</c:v>
                </c:pt>
                <c:pt idx="11">
                  <c:v>-1.9411764705882353</c:v>
                </c:pt>
              </c:numCache>
            </c:numRef>
          </c:val>
          <c:smooth val="0"/>
          <c:extLst>
            <c:ext xmlns:c16="http://schemas.microsoft.com/office/drawing/2014/chart" uri="{C3380CC4-5D6E-409C-BE32-E72D297353CC}">
              <c16:uniqueId val="{00000000-8B02-4ED7-BBB9-4690C5984DE1}"/>
            </c:ext>
          </c:extLst>
        </c:ser>
        <c:dLbls>
          <c:showLegendKey val="0"/>
          <c:showVal val="0"/>
          <c:showCatName val="0"/>
          <c:showSerName val="0"/>
          <c:showPercent val="0"/>
          <c:showBubbleSize val="0"/>
        </c:dLbls>
        <c:smooth val="0"/>
        <c:axId val="247044063"/>
        <c:axId val="247040703"/>
      </c:lineChart>
      <c:catAx>
        <c:axId val="24704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40703"/>
        <c:crosses val="autoZero"/>
        <c:auto val="1"/>
        <c:lblAlgn val="ctr"/>
        <c:lblOffset val="100"/>
        <c:noMultiLvlLbl val="0"/>
      </c:catAx>
      <c:valAx>
        <c:axId val="247040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profit margin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4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wise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03839942553785"/>
          <c:y val="0.27147215059621949"/>
          <c:w val="0.37218713332287806"/>
          <c:h val="0.54078885638246599"/>
        </c:manualLayout>
      </c:layout>
      <c:barChart>
        <c:barDir val="bar"/>
        <c:grouping val="clustered"/>
        <c:varyColors val="0"/>
        <c:ser>
          <c:idx val="0"/>
          <c:order val="0"/>
          <c:tx>
            <c:strRef>
              <c:f>EDA!$B$49</c:f>
              <c:strCache>
                <c:ptCount val="1"/>
                <c:pt idx="0">
                  <c:v>Sum of Sales</c:v>
                </c:pt>
              </c:strCache>
            </c:strRef>
          </c:tx>
          <c:spPr>
            <a:solidFill>
              <a:schemeClr val="accent1"/>
            </a:solidFill>
            <a:ln>
              <a:noFill/>
            </a:ln>
            <a:effectLst/>
          </c:spPr>
          <c:invertIfNegative val="0"/>
          <c:cat>
            <c:strRef>
              <c:f>EDA!$A$50:$A$51</c:f>
              <c:strCache>
                <c:ptCount val="1"/>
                <c:pt idx="0">
                  <c:v>Consumer</c:v>
                </c:pt>
              </c:strCache>
            </c:strRef>
          </c:cat>
          <c:val>
            <c:numRef>
              <c:f>EDA!$B$50:$B$51</c:f>
              <c:numCache>
                <c:formatCode>General</c:formatCode>
                <c:ptCount val="1"/>
                <c:pt idx="0">
                  <c:v>80466.691599999933</c:v>
                </c:pt>
              </c:numCache>
            </c:numRef>
          </c:val>
          <c:extLst>
            <c:ext xmlns:c16="http://schemas.microsoft.com/office/drawing/2014/chart" uri="{C3380CC4-5D6E-409C-BE32-E72D297353CC}">
              <c16:uniqueId val="{00000000-C5C3-48BE-ABE3-AF4AE8552FAA}"/>
            </c:ext>
          </c:extLst>
        </c:ser>
        <c:ser>
          <c:idx val="1"/>
          <c:order val="1"/>
          <c:tx>
            <c:strRef>
              <c:f>EDA!$C$49</c:f>
              <c:strCache>
                <c:ptCount val="1"/>
                <c:pt idx="0">
                  <c:v>Sum of Profit</c:v>
                </c:pt>
              </c:strCache>
            </c:strRef>
          </c:tx>
          <c:spPr>
            <a:solidFill>
              <a:schemeClr val="accent2"/>
            </a:solidFill>
            <a:ln>
              <a:noFill/>
            </a:ln>
            <a:effectLst/>
          </c:spPr>
          <c:invertIfNegative val="0"/>
          <c:cat>
            <c:strRef>
              <c:f>EDA!$A$50:$A$51</c:f>
              <c:strCache>
                <c:ptCount val="1"/>
                <c:pt idx="0">
                  <c:v>Consumer</c:v>
                </c:pt>
              </c:strCache>
            </c:strRef>
          </c:cat>
          <c:val>
            <c:numRef>
              <c:f>EDA!$C$50:$C$51</c:f>
              <c:numCache>
                <c:formatCode>General</c:formatCode>
                <c:ptCount val="1"/>
                <c:pt idx="0">
                  <c:v>4636.421699999999</c:v>
                </c:pt>
              </c:numCache>
            </c:numRef>
          </c:val>
          <c:extLst>
            <c:ext xmlns:c16="http://schemas.microsoft.com/office/drawing/2014/chart" uri="{C3380CC4-5D6E-409C-BE32-E72D297353CC}">
              <c16:uniqueId val="{00000001-C5C3-48BE-ABE3-AF4AE8552FAA}"/>
            </c:ext>
          </c:extLst>
        </c:ser>
        <c:dLbls>
          <c:showLegendKey val="0"/>
          <c:showVal val="0"/>
          <c:showCatName val="0"/>
          <c:showSerName val="0"/>
          <c:showPercent val="0"/>
          <c:showBubbleSize val="0"/>
        </c:dLbls>
        <c:gapWidth val="182"/>
        <c:axId val="211697839"/>
        <c:axId val="211694959"/>
      </c:barChart>
      <c:catAx>
        <c:axId val="211697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4959"/>
        <c:crosses val="autoZero"/>
        <c:auto val="1"/>
        <c:lblAlgn val="ctr"/>
        <c:lblOffset val="100"/>
        <c:noMultiLvlLbl val="0"/>
      </c:catAx>
      <c:valAx>
        <c:axId val="211694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&amp;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mode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EDA!$B$78</c:f>
              <c:strCache>
                <c:ptCount val="1"/>
                <c:pt idx="0">
                  <c:v>Total</c:v>
                </c:pt>
              </c:strCache>
            </c:strRef>
          </c:tx>
          <c:spPr>
            <a:ln w="28575" cap="rnd">
              <a:solidFill>
                <a:schemeClr val="accent1"/>
              </a:solidFill>
              <a:round/>
            </a:ln>
            <a:effectLst/>
          </c:spPr>
          <c:marker>
            <c:symbol val="none"/>
          </c:marker>
          <c:cat>
            <c:strRef>
              <c:f>EDA!$A$79:$A$82</c:f>
              <c:strCache>
                <c:ptCount val="3"/>
                <c:pt idx="0">
                  <c:v>First Class</c:v>
                </c:pt>
                <c:pt idx="1">
                  <c:v>Second Class</c:v>
                </c:pt>
                <c:pt idx="2">
                  <c:v>Standard Class</c:v>
                </c:pt>
              </c:strCache>
            </c:strRef>
          </c:cat>
          <c:val>
            <c:numRef>
              <c:f>EDA!$B$79:$B$82</c:f>
              <c:numCache>
                <c:formatCode>General</c:formatCode>
                <c:ptCount val="3"/>
                <c:pt idx="0">
                  <c:v>2.1489361702127661</c:v>
                </c:pt>
                <c:pt idx="1">
                  <c:v>3.2105263157894739</c:v>
                </c:pt>
                <c:pt idx="2">
                  <c:v>5.0721003134796234</c:v>
                </c:pt>
              </c:numCache>
            </c:numRef>
          </c:val>
          <c:smooth val="0"/>
          <c:extLst>
            <c:ext xmlns:c16="http://schemas.microsoft.com/office/drawing/2014/chart" uri="{C3380CC4-5D6E-409C-BE32-E72D297353CC}">
              <c16:uniqueId val="{00000000-2843-4B3F-82EE-1A99C9CD74CE}"/>
            </c:ext>
          </c:extLst>
        </c:ser>
        <c:dLbls>
          <c:showLegendKey val="0"/>
          <c:showVal val="0"/>
          <c:showCatName val="0"/>
          <c:showSerName val="0"/>
          <c:showPercent val="0"/>
          <c:showBubbleSize val="0"/>
        </c:dLbls>
        <c:smooth val="0"/>
        <c:axId val="211702639"/>
        <c:axId val="211705999"/>
      </c:lineChart>
      <c:catAx>
        <c:axId val="211702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Shipping</a:t>
                </a:r>
                <a:r>
                  <a:rPr lang="en-IN" baseline="0"/>
                  <a:t> mode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5999"/>
        <c:crosses val="autoZero"/>
        <c:auto val="1"/>
        <c:lblAlgn val="ctr"/>
        <c:lblOffset val="100"/>
        <c:noMultiLvlLbl val="0"/>
      </c:catAx>
      <c:valAx>
        <c:axId val="21170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shipping days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Sub-Category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solidFill>
            <a:ln>
              <a:noFill/>
            </a:ln>
            <a:effectLst/>
            <a:sp3d/>
          </c:spPr>
          <c:invertIfNegative val="0"/>
          <c:cat>
            <c:strRef>
              <c:f>EDA!$M$33:$M$37</c:f>
              <c:strCache>
                <c:ptCount val="5"/>
                <c:pt idx="0">
                  <c:v>Binders</c:v>
                </c:pt>
                <c:pt idx="1">
                  <c:v>Copiers</c:v>
                </c:pt>
                <c:pt idx="2">
                  <c:v>Phones</c:v>
                </c:pt>
                <c:pt idx="3">
                  <c:v>Accessories</c:v>
                </c:pt>
                <c:pt idx="4">
                  <c:v>Chairs</c:v>
                </c:pt>
              </c:strCache>
            </c:strRef>
          </c:cat>
          <c:val>
            <c:numRef>
              <c:f>EDA!$N$33:$N$37</c:f>
              <c:numCache>
                <c:formatCode>General</c:formatCode>
                <c:ptCount val="5"/>
                <c:pt idx="0">
                  <c:v>4167.9371000000001</c:v>
                </c:pt>
                <c:pt idx="1">
                  <c:v>2852.951</c:v>
                </c:pt>
                <c:pt idx="2">
                  <c:v>2692.3593000000005</c:v>
                </c:pt>
                <c:pt idx="3">
                  <c:v>2374.4669999999992</c:v>
                </c:pt>
                <c:pt idx="4">
                  <c:v>1661.9816000000003</c:v>
                </c:pt>
              </c:numCache>
            </c:numRef>
          </c:val>
          <c:extLst>
            <c:ext xmlns:c16="http://schemas.microsoft.com/office/drawing/2014/chart" uri="{C3380CC4-5D6E-409C-BE32-E72D297353CC}">
              <c16:uniqueId val="{00000000-43CF-46DB-9961-17C1986FABFD}"/>
            </c:ext>
          </c:extLst>
        </c:ser>
        <c:dLbls>
          <c:showLegendKey val="0"/>
          <c:showVal val="0"/>
          <c:showCatName val="0"/>
          <c:showSerName val="0"/>
          <c:showPercent val="0"/>
          <c:showBubbleSize val="0"/>
        </c:dLbls>
        <c:gapWidth val="150"/>
        <c:shape val="box"/>
        <c:axId val="247513183"/>
        <c:axId val="247529983"/>
        <c:axId val="0"/>
      </c:bar3DChart>
      <c:catAx>
        <c:axId val="247513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a:t>
                </a:r>
                <a:r>
                  <a:rPr lang="en-IN" baseline="0"/>
                  <a:t> 5 sub category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529983"/>
        <c:crosses val="autoZero"/>
        <c:auto val="1"/>
        <c:lblAlgn val="ctr"/>
        <c:lblOffset val="100"/>
        <c:noMultiLvlLbl val="0"/>
      </c:catAx>
      <c:valAx>
        <c:axId val="247529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51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582930</xdr:colOff>
      <xdr:row>0</xdr:row>
      <xdr:rowOff>64770</xdr:rowOff>
    </xdr:from>
    <xdr:to>
      <xdr:col>11</xdr:col>
      <xdr:colOff>278130</xdr:colOff>
      <xdr:row>14</xdr:row>
      <xdr:rowOff>156210</xdr:rowOff>
    </xdr:to>
    <xdr:graphicFrame macro="">
      <xdr:nvGraphicFramePr>
        <xdr:cNvPr id="2" name="Chart 1">
          <a:extLst>
            <a:ext uri="{FF2B5EF4-FFF2-40B4-BE49-F238E27FC236}">
              <a16:creationId xmlns:a16="http://schemas.microsoft.com/office/drawing/2014/main" id="{34F9D2C6-9DF4-9533-29EB-665E7545F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15</xdr:row>
      <xdr:rowOff>11430</xdr:rowOff>
    </xdr:from>
    <xdr:to>
      <xdr:col>11</xdr:col>
      <xdr:colOff>247650</xdr:colOff>
      <xdr:row>29</xdr:row>
      <xdr:rowOff>148590</xdr:rowOff>
    </xdr:to>
    <xdr:graphicFrame macro="">
      <xdr:nvGraphicFramePr>
        <xdr:cNvPr id="3" name="Chart 2">
          <a:extLst>
            <a:ext uri="{FF2B5EF4-FFF2-40B4-BE49-F238E27FC236}">
              <a16:creationId xmlns:a16="http://schemas.microsoft.com/office/drawing/2014/main" id="{0071C271-CEFE-7519-E24A-3E586121E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30</xdr:row>
      <xdr:rowOff>93821</xdr:rowOff>
    </xdr:from>
    <xdr:to>
      <xdr:col>11</xdr:col>
      <xdr:colOff>220980</xdr:colOff>
      <xdr:row>45</xdr:row>
      <xdr:rowOff>100012</xdr:rowOff>
    </xdr:to>
    <xdr:graphicFrame macro="">
      <xdr:nvGraphicFramePr>
        <xdr:cNvPr id="4" name="Chart 3">
          <a:extLst>
            <a:ext uri="{FF2B5EF4-FFF2-40B4-BE49-F238E27FC236}">
              <a16:creationId xmlns:a16="http://schemas.microsoft.com/office/drawing/2014/main" id="{76DDB078-4764-A58B-450E-7F1DCF55F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67</xdr:row>
      <xdr:rowOff>179070</xdr:rowOff>
    </xdr:from>
    <xdr:to>
      <xdr:col>11</xdr:col>
      <xdr:colOff>95250</xdr:colOff>
      <xdr:row>82</xdr:row>
      <xdr:rowOff>133350</xdr:rowOff>
    </xdr:to>
    <xdr:graphicFrame macro="">
      <xdr:nvGraphicFramePr>
        <xdr:cNvPr id="6" name="Chart 5">
          <a:extLst>
            <a:ext uri="{FF2B5EF4-FFF2-40B4-BE49-F238E27FC236}">
              <a16:creationId xmlns:a16="http://schemas.microsoft.com/office/drawing/2014/main" id="{EABF3606-922D-4931-022C-2AA86B1C2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335280</xdr:colOff>
      <xdr:row>0</xdr:row>
      <xdr:rowOff>76200</xdr:rowOff>
    </xdr:from>
    <xdr:to>
      <xdr:col>14</xdr:col>
      <xdr:colOff>335279</xdr:colOff>
      <xdr:row>13</xdr:row>
      <xdr:rowOff>74295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38402B04-E4A4-F1AF-6107-35EA58F322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255684" y="76200"/>
              <a:ext cx="1824403" cy="2467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0</xdr:row>
      <xdr:rowOff>83820</xdr:rowOff>
    </xdr:from>
    <xdr:to>
      <xdr:col>17</xdr:col>
      <xdr:colOff>380999</xdr:colOff>
      <xdr:row>13</xdr:row>
      <xdr:rowOff>81915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DA65E94-56A2-3BB1-19D1-1C0F95F827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25808" y="83820"/>
              <a:ext cx="1824404" cy="2467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13</xdr:row>
      <xdr:rowOff>152400</xdr:rowOff>
    </xdr:from>
    <xdr:to>
      <xdr:col>14</xdr:col>
      <xdr:colOff>373379</xdr:colOff>
      <xdr:row>27</xdr:row>
      <xdr:rowOff>13335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85B7E4C-4DEF-00DA-2524-5589363CC1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93784" y="2621573"/>
              <a:ext cx="1824403" cy="246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14</xdr:row>
      <xdr:rowOff>129540</xdr:rowOff>
    </xdr:from>
    <xdr:to>
      <xdr:col>20</xdr:col>
      <xdr:colOff>68580</xdr:colOff>
      <xdr:row>21</xdr:row>
      <xdr:rowOff>220980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B22AC02A-4F95-40F2-54BE-53A05207E06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33428" y="2781886"/>
              <a:ext cx="3328768" cy="13736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396240</xdr:colOff>
      <xdr:row>52</xdr:row>
      <xdr:rowOff>68580</xdr:rowOff>
    </xdr:from>
    <xdr:to>
      <xdr:col>11</xdr:col>
      <xdr:colOff>91440</xdr:colOff>
      <xdr:row>67</xdr:row>
      <xdr:rowOff>22860</xdr:rowOff>
    </xdr:to>
    <xdr:graphicFrame macro="">
      <xdr:nvGraphicFramePr>
        <xdr:cNvPr id="11" name="Chart 10">
          <a:extLst>
            <a:ext uri="{FF2B5EF4-FFF2-40B4-BE49-F238E27FC236}">
              <a16:creationId xmlns:a16="http://schemas.microsoft.com/office/drawing/2014/main" id="{61F661F7-769D-AB5A-C731-81679F308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238125</xdr:colOff>
      <xdr:row>31</xdr:row>
      <xdr:rowOff>97447</xdr:rowOff>
    </xdr:from>
    <xdr:to>
      <xdr:col>21</xdr:col>
      <xdr:colOff>553182</xdr:colOff>
      <xdr:row>46</xdr:row>
      <xdr:rowOff>49089</xdr:rowOff>
    </xdr:to>
    <xdr:graphicFrame macro="">
      <xdr:nvGraphicFramePr>
        <xdr:cNvPr id="12" name="Chart 11">
          <a:extLst>
            <a:ext uri="{FF2B5EF4-FFF2-40B4-BE49-F238E27FC236}">
              <a16:creationId xmlns:a16="http://schemas.microsoft.com/office/drawing/2014/main" id="{4D3B6906-0613-9D63-C4F0-44C048A97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46171</xdr:rowOff>
    </xdr:from>
    <xdr:to>
      <xdr:col>3</xdr:col>
      <xdr:colOff>740</xdr:colOff>
      <xdr:row>29</xdr:row>
      <xdr:rowOff>177084</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0F7034CA-9C8D-447C-8F00-8C6A2F65C53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3216091"/>
              <a:ext cx="1829540" cy="2508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3459</xdr:colOff>
      <xdr:row>3</xdr:row>
      <xdr:rowOff>2902</xdr:rowOff>
    </xdr:from>
    <xdr:to>
      <xdr:col>22</xdr:col>
      <xdr:colOff>581186</xdr:colOff>
      <xdr:row>9</xdr:row>
      <xdr:rowOff>1</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03D93E94-8601-4E2F-B362-76C520609D1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832259" y="795382"/>
              <a:ext cx="12160127" cy="10943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29</xdr:row>
      <xdr:rowOff>174994</xdr:rowOff>
    </xdr:from>
    <xdr:to>
      <xdr:col>3</xdr:col>
      <xdr:colOff>742</xdr:colOff>
      <xdr:row>43</xdr:row>
      <xdr:rowOff>120537</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F890D99F-5770-4E12-93BF-C5317EE42C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5722354"/>
              <a:ext cx="1829542" cy="2505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1794</xdr:rowOff>
    </xdr:from>
    <xdr:to>
      <xdr:col>3</xdr:col>
      <xdr:colOff>740</xdr:colOff>
      <xdr:row>16</xdr:row>
      <xdr:rowOff>38747</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737415B8-1E9C-4EBF-A7FA-D4EF37657B0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794274"/>
              <a:ext cx="1829540" cy="2414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602007</xdr:colOff>
      <xdr:row>9</xdr:row>
      <xdr:rowOff>22439</xdr:rowOff>
    </xdr:from>
    <xdr:to>
      <xdr:col>12</xdr:col>
      <xdr:colOff>464950</xdr:colOff>
      <xdr:row>25</xdr:row>
      <xdr:rowOff>154983</xdr:rowOff>
    </xdr:to>
    <xdr:graphicFrame macro="">
      <xdr:nvGraphicFramePr>
        <xdr:cNvPr id="6" name="Chart 5">
          <a:extLst>
            <a:ext uri="{FF2B5EF4-FFF2-40B4-BE49-F238E27FC236}">
              <a16:creationId xmlns:a16="http://schemas.microsoft.com/office/drawing/2014/main" id="{D879B091-FB41-4EE4-9797-4697D3E1C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465077</xdr:colOff>
      <xdr:row>9</xdr:row>
      <xdr:rowOff>19456</xdr:rowOff>
    </xdr:from>
    <xdr:to>
      <xdr:col>21</xdr:col>
      <xdr:colOff>284135</xdr:colOff>
      <xdr:row>25</xdr:row>
      <xdr:rowOff>154982</xdr:rowOff>
    </xdr:to>
    <xdr:graphicFrame macro="">
      <xdr:nvGraphicFramePr>
        <xdr:cNvPr id="7" name="Chart 6">
          <a:extLst>
            <a:ext uri="{FF2B5EF4-FFF2-40B4-BE49-F238E27FC236}">
              <a16:creationId xmlns:a16="http://schemas.microsoft.com/office/drawing/2014/main" id="{57CCAE5D-0C34-471D-BD4B-BB84C7D7E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16380</xdr:colOff>
      <xdr:row>25</xdr:row>
      <xdr:rowOff>167898</xdr:rowOff>
    </xdr:from>
    <xdr:to>
      <xdr:col>12</xdr:col>
      <xdr:colOff>439119</xdr:colOff>
      <xdr:row>43</xdr:row>
      <xdr:rowOff>129152</xdr:rowOff>
    </xdr:to>
    <xdr:graphicFrame macro="">
      <xdr:nvGraphicFramePr>
        <xdr:cNvPr id="8" name="Chart 7">
          <a:extLst>
            <a:ext uri="{FF2B5EF4-FFF2-40B4-BE49-F238E27FC236}">
              <a16:creationId xmlns:a16="http://schemas.microsoft.com/office/drawing/2014/main" id="{8D4694FE-4811-4476-9A67-8823D3E4C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427223</xdr:colOff>
      <xdr:row>25</xdr:row>
      <xdr:rowOff>167673</xdr:rowOff>
    </xdr:from>
    <xdr:to>
      <xdr:col>21</xdr:col>
      <xdr:colOff>286987</xdr:colOff>
      <xdr:row>43</xdr:row>
      <xdr:rowOff>108857</xdr:rowOff>
    </xdr:to>
    <xdr:graphicFrame macro="">
      <xdr:nvGraphicFramePr>
        <xdr:cNvPr id="9" name="Chart 8">
          <a:extLst>
            <a:ext uri="{FF2B5EF4-FFF2-40B4-BE49-F238E27FC236}">
              <a16:creationId xmlns:a16="http://schemas.microsoft.com/office/drawing/2014/main" id="{D3287BAF-99C2-4976-A17D-57D182B1F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284136</xdr:colOff>
      <xdr:row>25</xdr:row>
      <xdr:rowOff>148443</xdr:rowOff>
    </xdr:from>
    <xdr:to>
      <xdr:col>27</xdr:col>
      <xdr:colOff>12916</xdr:colOff>
      <xdr:row>43</xdr:row>
      <xdr:rowOff>108857</xdr:rowOff>
    </xdr:to>
    <xdr:graphicFrame macro="">
      <xdr:nvGraphicFramePr>
        <xdr:cNvPr id="10" name="Chart 9">
          <a:extLst>
            <a:ext uri="{FF2B5EF4-FFF2-40B4-BE49-F238E27FC236}">
              <a16:creationId xmlns:a16="http://schemas.microsoft.com/office/drawing/2014/main" id="{351A852A-7EF8-42E2-B570-B84462D57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284137</xdr:colOff>
      <xdr:row>9</xdr:row>
      <xdr:rowOff>25829</xdr:rowOff>
    </xdr:from>
    <xdr:to>
      <xdr:col>27</xdr:col>
      <xdr:colOff>12917</xdr:colOff>
      <xdr:row>25</xdr:row>
      <xdr:rowOff>142067</xdr:rowOff>
    </xdr:to>
    <xdr:graphicFrame macro="">
      <xdr:nvGraphicFramePr>
        <xdr:cNvPr id="11" name="Chart 10">
          <a:extLst>
            <a:ext uri="{FF2B5EF4-FFF2-40B4-BE49-F238E27FC236}">
              <a16:creationId xmlns:a16="http://schemas.microsoft.com/office/drawing/2014/main" id="{2703C4CE-1BA5-4DC4-8B92-82EED7BFE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n rajendran" refreshedDate="45968.253834490744" createdVersion="8" refreshedVersion="8" minRefreshableVersion="3" recordCount="550" xr:uid="{CC330240-51F1-4A92-8D60-1A38056B721B}">
  <cacheSource type="worksheet">
    <worksheetSource ref="A1:AB551" sheet="cleaned data "/>
  </cacheSource>
  <cacheFields count="28">
    <cacheField name="Row ID" numFmtId="0">
      <sharedItems containsSemiMixedTypes="0" containsString="0" containsNumber="1" containsInteger="1" minValue="1" maxValue="550"/>
    </cacheField>
    <cacheField name="Order ID" numFmtId="0">
      <sharedItems/>
    </cacheField>
    <cacheField name="Order Date" numFmtId="14">
      <sharedItems containsSemiMixedTypes="0" containsNonDate="0" containsDate="1" containsString="0" minDate="2014-02-01T00:00:00" maxDate="2017-12-29T00:00:00" count="220">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sharedItems>
    </cacheField>
    <cacheField name="Ship Date" numFmtId="14">
      <sharedItems containsSemiMixedTypes="0" containsNonDate="0" containsDate="1" containsString="0" minDate="2014-02-03T00:00:00" maxDate="2018-01-03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198"/>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483">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haredItems>
    </cacheField>
    <cacheField name="Sales" numFmtId="2">
      <sharedItems containsSemiMixedTypes="0" containsString="0" containsNumber="1" minValue="1.248" maxValue="8159.9520000000002"/>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ount="12">
        <n v="0"/>
        <n v="0.45"/>
        <n v="0.2"/>
        <n v="0.8"/>
        <n v="0.3"/>
        <n v="0.5"/>
        <n v="0.7"/>
        <n v="0.6"/>
        <n v="0.32"/>
        <n v="0.1"/>
        <n v="0.4"/>
        <n v="0.15"/>
      </sharedItems>
    </cacheField>
    <cacheField name="Profit" numFmtId="2">
      <sharedItems containsSemiMixedTypes="0" containsString="0" containsNumber="1" minValue="-1665.0522000000001" maxValue="3177.4749999999999" count="53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sharedItems>
    </cacheField>
    <cacheField name="Validate Date " numFmtId="0">
      <sharedItems/>
    </cacheField>
    <cacheField name="Average of sales " numFmtId="2">
      <sharedItems containsSemiMixedTypes="0" containsString="0" containsNumber="1" minValue="267.07" maxValue="267.07"/>
    </cacheField>
    <cacheField name="Stdev" numFmtId="2">
      <sharedItems containsSemiMixedTypes="0" containsString="0" containsNumber="1" minValue="656.2656164" maxValue="656.2656164"/>
    </cacheField>
    <cacheField name="Outlier" numFmtId="2">
      <sharedItems/>
    </cacheField>
    <cacheField name="Shipping Days" numFmtId="0">
      <sharedItems containsSemiMixedTypes="0" containsString="0" containsNumber="1" containsInteger="1" minValue="0" maxValue="7"/>
    </cacheField>
    <cacheField name="Profit Margin" numFmtId="0">
      <sharedItems containsSemiMixedTypes="0" containsString="0" containsNumber="1" minValue="-2.75" maxValue="0.5"/>
    </cacheField>
    <cacheField name="Sales After Discount" numFmtId="0">
      <sharedItems containsSemiMixedTypes="0" containsString="0" containsNumber="1" minValue="0.24959999999999993" maxValue="6354.95"/>
    </cacheField>
  </cacheFields>
  <extLst>
    <ext xmlns:x14="http://schemas.microsoft.com/office/spreadsheetml/2009/9/main" uri="{725AE2AE-9491-48be-B2B4-4EB974FC3084}">
      <x14:pivotCacheDefinition pivotCacheId="40858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n v="1"/>
    <s v="CA-2016-152156"/>
    <x v="0"/>
    <d v="2016-11-11T00:00:00"/>
    <x v="0"/>
    <s v="CG-12520"/>
    <s v="Claire Gute"/>
    <x v="0"/>
    <s v="United States"/>
    <s v="Henderson"/>
    <s v="Kentucky"/>
    <n v="42420"/>
    <x v="0"/>
    <s v="FUR-BO-10001798"/>
    <x v="0"/>
    <x v="0"/>
    <x v="0"/>
    <n v="261.95999999999998"/>
    <n v="2"/>
    <x v="0"/>
    <x v="0"/>
    <s v="Valid"/>
    <n v="267.07"/>
    <n v="656.2656164"/>
    <s v="Normal"/>
    <n v="3"/>
    <n v="0.16000000000000003"/>
    <n v="261.95999999999998"/>
  </r>
  <r>
    <n v="2"/>
    <s v="CA-2016-152156"/>
    <x v="0"/>
    <d v="2016-11-11T00:00:00"/>
    <x v="0"/>
    <s v="CG-12520"/>
    <s v="Claire Gute"/>
    <x v="0"/>
    <s v="United States"/>
    <s v="Henderson"/>
    <s v="Kentucky"/>
    <n v="42420"/>
    <x v="0"/>
    <s v="FUR-CH-10000454"/>
    <x v="0"/>
    <x v="1"/>
    <x v="1"/>
    <n v="731.94"/>
    <n v="3"/>
    <x v="0"/>
    <x v="1"/>
    <s v="Valid"/>
    <n v="267.07"/>
    <n v="656.2656164"/>
    <s v="Normal"/>
    <n v="3"/>
    <n v="0.3"/>
    <n v="731.94"/>
  </r>
  <r>
    <n v="3"/>
    <s v="CA-2016-138688"/>
    <x v="1"/>
    <d v="2016-06-16T00:00:00"/>
    <x v="0"/>
    <s v="DV-13045"/>
    <s v="Darrin Van Huff"/>
    <x v="1"/>
    <s v="United States"/>
    <s v="Los Angeles"/>
    <s v="California"/>
    <n v="90036"/>
    <x v="1"/>
    <s v="OFF-LA-10000240"/>
    <x v="1"/>
    <x v="2"/>
    <x v="2"/>
    <n v="14.62"/>
    <n v="2"/>
    <x v="0"/>
    <x v="2"/>
    <s v="Valid"/>
    <n v="267.07"/>
    <n v="656.2656164"/>
    <s v="Normal"/>
    <n v="4"/>
    <n v="0.47000000000000003"/>
    <n v="14.62"/>
  </r>
  <r>
    <n v="4"/>
    <s v="US-2015-108966"/>
    <x v="2"/>
    <d v="2015-10-18T00:00:00"/>
    <x v="1"/>
    <s v="SO-20335"/>
    <s v="Sean O'Donnell"/>
    <x v="0"/>
    <s v="United States"/>
    <s v="Fort Lauderdale"/>
    <s v="Florida"/>
    <n v="33311"/>
    <x v="0"/>
    <s v="FUR-TA-10000577"/>
    <x v="0"/>
    <x v="3"/>
    <x v="3"/>
    <n v="957.57749999999999"/>
    <n v="5"/>
    <x v="1"/>
    <x v="3"/>
    <s v="Valid"/>
    <n v="267.07"/>
    <n v="656.2656164"/>
    <s v="Normal"/>
    <n v="7"/>
    <n v="-0.4"/>
    <n v="526.66762500000004"/>
  </r>
  <r>
    <n v="5"/>
    <s v="US-2015-108966"/>
    <x v="2"/>
    <d v="2015-10-18T00:00:00"/>
    <x v="1"/>
    <s v="SO-20335"/>
    <s v="Sean O'Donnell"/>
    <x v="0"/>
    <s v="United States"/>
    <s v="Fort Lauderdale"/>
    <s v="Florida"/>
    <n v="33311"/>
    <x v="0"/>
    <s v="OFF-ST-10000760"/>
    <x v="1"/>
    <x v="4"/>
    <x v="4"/>
    <n v="22.367999999999999"/>
    <n v="2"/>
    <x v="2"/>
    <x v="4"/>
    <s v="Valid"/>
    <n v="267.07"/>
    <n v="656.2656164"/>
    <s v="Normal"/>
    <n v="7"/>
    <n v="0.1125"/>
    <n v="17.894400000000001"/>
  </r>
  <r>
    <n v="6"/>
    <s v="CA-2014-115812"/>
    <x v="3"/>
    <d v="2014-06-14T00:00:00"/>
    <x v="1"/>
    <s v="BH-11710"/>
    <s v="Brosina Hoffman"/>
    <x v="0"/>
    <s v="United States"/>
    <s v="Los Angeles"/>
    <s v="California"/>
    <n v="90032"/>
    <x v="1"/>
    <s v="FUR-FU-10001487"/>
    <x v="0"/>
    <x v="5"/>
    <x v="5"/>
    <n v="48.86"/>
    <n v="7"/>
    <x v="0"/>
    <x v="5"/>
    <s v="Valid"/>
    <n v="267.07"/>
    <n v="656.2656164"/>
    <s v="Normal"/>
    <n v="5"/>
    <n v="0.28999999999999998"/>
    <n v="48.86"/>
  </r>
  <r>
    <n v="7"/>
    <s v="CA-2014-115812"/>
    <x v="3"/>
    <d v="2014-06-14T00:00:00"/>
    <x v="1"/>
    <s v="BH-11710"/>
    <s v="Brosina Hoffman"/>
    <x v="0"/>
    <s v="United States"/>
    <s v="Los Angeles"/>
    <s v="California"/>
    <n v="90032"/>
    <x v="1"/>
    <s v="OFF-AR-10002833"/>
    <x v="1"/>
    <x v="6"/>
    <x v="6"/>
    <n v="7.28"/>
    <n v="4"/>
    <x v="0"/>
    <x v="6"/>
    <s v="Valid"/>
    <n v="267.07"/>
    <n v="656.2656164"/>
    <s v="Normal"/>
    <n v="5"/>
    <n v="0.27"/>
    <n v="7.28"/>
  </r>
  <r>
    <n v="8"/>
    <s v="CA-2014-115812"/>
    <x v="3"/>
    <d v="2014-06-14T00:00:00"/>
    <x v="1"/>
    <s v="BH-11710"/>
    <s v="Brosina Hoffman"/>
    <x v="0"/>
    <s v="United States"/>
    <s v="Los Angeles"/>
    <s v="California"/>
    <n v="90032"/>
    <x v="1"/>
    <s v="TEC-PH-10002275"/>
    <x v="2"/>
    <x v="7"/>
    <x v="7"/>
    <n v="907.15200000000004"/>
    <n v="6"/>
    <x v="2"/>
    <x v="7"/>
    <s v="Valid"/>
    <n v="267.07"/>
    <n v="656.2656164"/>
    <s v="Normal"/>
    <n v="5"/>
    <n v="9.9999999999999992E-2"/>
    <n v="725.72160000000008"/>
  </r>
  <r>
    <n v="9"/>
    <s v="CA-2014-115812"/>
    <x v="3"/>
    <d v="2014-06-14T00:00:00"/>
    <x v="1"/>
    <s v="BH-11710"/>
    <s v="Brosina Hoffman"/>
    <x v="0"/>
    <s v="United States"/>
    <s v="Los Angeles"/>
    <s v="California"/>
    <n v="90032"/>
    <x v="1"/>
    <s v="OFF-BI-10003910"/>
    <x v="1"/>
    <x v="8"/>
    <x v="8"/>
    <n v="18.504000000000001"/>
    <n v="3"/>
    <x v="2"/>
    <x v="8"/>
    <s v="Valid"/>
    <n v="267.07"/>
    <n v="656.2656164"/>
    <s v="Normal"/>
    <n v="5"/>
    <n v="0.31249999999999994"/>
    <n v="14.803200000000002"/>
  </r>
  <r>
    <n v="10"/>
    <s v="CA-2014-115812"/>
    <x v="3"/>
    <d v="2014-06-14T00:00:00"/>
    <x v="1"/>
    <s v="BH-11710"/>
    <s v="Brosina Hoffman"/>
    <x v="0"/>
    <s v="United States"/>
    <s v="Los Angeles"/>
    <s v="California"/>
    <n v="90032"/>
    <x v="1"/>
    <s v="OFF-AP-10002892"/>
    <x v="1"/>
    <x v="9"/>
    <x v="9"/>
    <n v="114.9"/>
    <n v="5"/>
    <x v="0"/>
    <x v="9"/>
    <s v="Valid"/>
    <n v="267.07"/>
    <n v="656.2656164"/>
    <s v="Normal"/>
    <n v="5"/>
    <n v="0.3"/>
    <n v="114.9"/>
  </r>
  <r>
    <n v="11"/>
    <s v="CA-2014-115812"/>
    <x v="3"/>
    <d v="2014-06-14T00:00:00"/>
    <x v="1"/>
    <s v="BH-11710"/>
    <s v="Brosina Hoffman"/>
    <x v="0"/>
    <s v="United States"/>
    <s v="Los Angeles"/>
    <s v="California"/>
    <n v="90032"/>
    <x v="1"/>
    <s v="FUR-TA-10001539"/>
    <x v="0"/>
    <x v="3"/>
    <x v="10"/>
    <n v="1706.184"/>
    <n v="9"/>
    <x v="2"/>
    <x v="10"/>
    <s v="Valid"/>
    <n v="267.07"/>
    <n v="656.2656164"/>
    <s v="Normal"/>
    <n v="5"/>
    <n v="0.05"/>
    <n v="1364.9472000000001"/>
  </r>
  <r>
    <n v="12"/>
    <s v="CA-2014-115812"/>
    <x v="3"/>
    <d v="2014-06-14T00:00:00"/>
    <x v="1"/>
    <s v="BH-11710"/>
    <s v="Brosina Hoffman"/>
    <x v="0"/>
    <s v="United States"/>
    <s v="Los Angeles"/>
    <s v="California"/>
    <n v="90032"/>
    <x v="1"/>
    <s v="TEC-PH-10002033"/>
    <x v="2"/>
    <x v="7"/>
    <x v="11"/>
    <n v="911.42399999999998"/>
    <n v="4"/>
    <x v="2"/>
    <x v="11"/>
    <s v="Valid"/>
    <n v="267.07"/>
    <n v="656.2656164"/>
    <s v="Normal"/>
    <n v="5"/>
    <n v="7.5000000000000011E-2"/>
    <n v="729.13920000000007"/>
  </r>
  <r>
    <n v="13"/>
    <s v="CA-2017-114412"/>
    <x v="4"/>
    <d v="2017-04-20T00:00:00"/>
    <x v="1"/>
    <s v="AA-10480"/>
    <s v="Andrew Allen"/>
    <x v="0"/>
    <s v="United States"/>
    <s v="Concord"/>
    <s v="North Carolina"/>
    <n v="28027"/>
    <x v="0"/>
    <s v="OFF-PA-10002365"/>
    <x v="1"/>
    <x v="10"/>
    <x v="12"/>
    <n v="15.552"/>
    <n v="3"/>
    <x v="2"/>
    <x v="12"/>
    <s v="Valid"/>
    <n v="267.07"/>
    <n v="656.2656164"/>
    <s v="Normal"/>
    <n v="5"/>
    <n v="0.35000000000000003"/>
    <n v="12.441600000000001"/>
  </r>
  <r>
    <n v="14"/>
    <s v="CA-2016-161389"/>
    <x v="5"/>
    <d v="2016-12-10T00:00:00"/>
    <x v="1"/>
    <s v="IM-15070"/>
    <s v="Irene Maddox"/>
    <x v="0"/>
    <s v="United States"/>
    <s v="Seattle"/>
    <s v="Washington"/>
    <n v="98103"/>
    <x v="1"/>
    <s v="OFF-BI-10003656"/>
    <x v="1"/>
    <x v="8"/>
    <x v="13"/>
    <n v="407.976"/>
    <n v="3"/>
    <x v="2"/>
    <x v="13"/>
    <s v="Valid"/>
    <n v="267.07"/>
    <n v="656.2656164"/>
    <s v="Normal"/>
    <n v="5"/>
    <n v="0.32499999999999996"/>
    <n v="326.38080000000002"/>
  </r>
  <r>
    <n v="15"/>
    <s v="US-2015-118983"/>
    <x v="6"/>
    <d v="2015-11-26T00:00:00"/>
    <x v="1"/>
    <s v="HP-14815"/>
    <s v="Harold Pawlan"/>
    <x v="2"/>
    <s v="United States"/>
    <s v="Fort Worth"/>
    <s v="Texas"/>
    <n v="76106"/>
    <x v="2"/>
    <s v="OFF-AP-10002311"/>
    <x v="1"/>
    <x v="9"/>
    <x v="14"/>
    <n v="68.81"/>
    <n v="5"/>
    <x v="3"/>
    <x v="14"/>
    <s v="Valid"/>
    <n v="267.07"/>
    <n v="656.2656164"/>
    <s v="Normal"/>
    <n v="4"/>
    <n v="-1.8"/>
    <n v="13.761999999999997"/>
  </r>
  <r>
    <n v="16"/>
    <s v="US-2015-118983"/>
    <x v="6"/>
    <d v="2015-11-26T00:00:00"/>
    <x v="1"/>
    <s v="HP-14815"/>
    <s v="Harold Pawlan"/>
    <x v="2"/>
    <s v="United States"/>
    <s v="Fort Worth"/>
    <s v="Texas"/>
    <n v="76106"/>
    <x v="2"/>
    <s v="OFF-BI-10000756"/>
    <x v="1"/>
    <x v="8"/>
    <x v="15"/>
    <n v="2.544"/>
    <n v="3"/>
    <x v="3"/>
    <x v="15"/>
    <s v="Valid"/>
    <n v="267.07"/>
    <n v="656.2656164"/>
    <s v="Normal"/>
    <n v="4"/>
    <n v="-1.5"/>
    <n v="0.50879999999999992"/>
  </r>
  <r>
    <n v="17"/>
    <s v="CA-2014-105893"/>
    <x v="7"/>
    <d v="2014-11-18T00:00:00"/>
    <x v="1"/>
    <s v="PK-19075"/>
    <s v="Pete Kriz"/>
    <x v="0"/>
    <s v="United States"/>
    <s v="Madison"/>
    <s v="Wisconsin"/>
    <n v="53711"/>
    <x v="2"/>
    <s v="OFF-ST-10004186"/>
    <x v="1"/>
    <x v="4"/>
    <x v="16"/>
    <n v="665.88"/>
    <n v="6"/>
    <x v="0"/>
    <x v="16"/>
    <s v="Valid"/>
    <n v="267.07"/>
    <n v="656.2656164"/>
    <s v="Normal"/>
    <n v="7"/>
    <n v="0.02"/>
    <n v="665.88"/>
  </r>
  <r>
    <n v="18"/>
    <s v="CA-2014-167164"/>
    <x v="8"/>
    <d v="2014-05-15T00:00:00"/>
    <x v="0"/>
    <s v="AG-10270"/>
    <s v="Alejandro Grove"/>
    <x v="0"/>
    <s v="United States"/>
    <s v="West Jordan"/>
    <s v="Utah"/>
    <n v="84084"/>
    <x v="1"/>
    <s v="OFF-ST-10000107"/>
    <x v="1"/>
    <x v="4"/>
    <x v="17"/>
    <n v="55.5"/>
    <n v="2"/>
    <x v="0"/>
    <x v="17"/>
    <s v="Valid"/>
    <n v="267.07"/>
    <n v="656.2656164"/>
    <s v="Normal"/>
    <n v="2"/>
    <n v="0.18"/>
    <n v="55.5"/>
  </r>
  <r>
    <n v="19"/>
    <s v="CA-2014-143336"/>
    <x v="9"/>
    <d v="2014-09-01T00:00:00"/>
    <x v="0"/>
    <s v="ZD-21925"/>
    <s v="Zuschuss Donatelli"/>
    <x v="0"/>
    <s v="United States"/>
    <s v="San Francisco"/>
    <s v="California"/>
    <n v="94109"/>
    <x v="1"/>
    <s v="OFF-AR-10003056"/>
    <x v="1"/>
    <x v="6"/>
    <x v="18"/>
    <n v="8.56"/>
    <n v="2"/>
    <x v="0"/>
    <x v="18"/>
    <s v="Valid"/>
    <n v="267.07"/>
    <n v="656.2656164"/>
    <s v="Normal"/>
    <n v="5"/>
    <n v="0.28999999999999998"/>
    <n v="8.56"/>
  </r>
  <r>
    <n v="20"/>
    <s v="CA-2014-143336"/>
    <x v="9"/>
    <d v="2014-09-01T00:00:00"/>
    <x v="0"/>
    <s v="ZD-21925"/>
    <s v="Zuschuss Donatelli"/>
    <x v="0"/>
    <s v="United States"/>
    <s v="San Francisco"/>
    <s v="California"/>
    <n v="94109"/>
    <x v="1"/>
    <s v="TEC-PH-10001949"/>
    <x v="2"/>
    <x v="7"/>
    <x v="19"/>
    <n v="213.48"/>
    <n v="3"/>
    <x v="2"/>
    <x v="19"/>
    <s v="Valid"/>
    <n v="267.07"/>
    <n v="656.2656164"/>
    <s v="Normal"/>
    <n v="5"/>
    <n v="7.4999999999999997E-2"/>
    <n v="170.78399999999999"/>
  </r>
  <r>
    <n v="21"/>
    <s v="CA-2014-143336"/>
    <x v="9"/>
    <d v="2014-09-01T00:00:00"/>
    <x v="0"/>
    <s v="ZD-21925"/>
    <s v="Zuschuss Donatelli"/>
    <x v="0"/>
    <s v="United States"/>
    <s v="San Francisco"/>
    <s v="California"/>
    <n v="94109"/>
    <x v="1"/>
    <s v="OFF-BI-10002215"/>
    <x v="1"/>
    <x v="8"/>
    <x v="20"/>
    <n v="22.72"/>
    <n v="4"/>
    <x v="2"/>
    <x v="20"/>
    <s v="Valid"/>
    <n v="267.07"/>
    <n v="656.2656164"/>
    <s v="Normal"/>
    <n v="5"/>
    <n v="0.32500000000000001"/>
    <n v="18.175999999999998"/>
  </r>
  <r>
    <n v="22"/>
    <s v="CA-2016-137330"/>
    <x v="10"/>
    <d v="2016-12-13T00:00:00"/>
    <x v="1"/>
    <s v="KB-16585"/>
    <s v="Ken Black"/>
    <x v="1"/>
    <s v="United States"/>
    <s v="Fremont"/>
    <s v="Nebraska"/>
    <n v="68025"/>
    <x v="2"/>
    <s v="OFF-AR-10000246"/>
    <x v="1"/>
    <x v="6"/>
    <x v="21"/>
    <n v="19.46"/>
    <n v="7"/>
    <x v="0"/>
    <x v="21"/>
    <s v="Valid"/>
    <n v="267.07"/>
    <n v="656.2656164"/>
    <s v="Normal"/>
    <n v="4"/>
    <n v="0.25999999999999995"/>
    <n v="19.46"/>
  </r>
  <r>
    <n v="23"/>
    <s v="CA-2016-137330"/>
    <x v="10"/>
    <d v="2016-12-13T00:00:00"/>
    <x v="1"/>
    <s v="KB-16585"/>
    <s v="Ken Black"/>
    <x v="1"/>
    <s v="United States"/>
    <s v="Fremont"/>
    <s v="Nebraska"/>
    <n v="68025"/>
    <x v="2"/>
    <s v="OFF-AP-10001492"/>
    <x v="1"/>
    <x v="9"/>
    <x v="22"/>
    <n v="60.34"/>
    <n v="7"/>
    <x v="0"/>
    <x v="22"/>
    <s v="Valid"/>
    <n v="267.07"/>
    <n v="656.2656164"/>
    <s v="Normal"/>
    <n v="4"/>
    <n v="0.25999999999999995"/>
    <n v="60.34"/>
  </r>
  <r>
    <n v="24"/>
    <s v="US-2017-156909"/>
    <x v="11"/>
    <d v="2017-07-18T00:00:00"/>
    <x v="0"/>
    <s v="SF-20065"/>
    <s v="Sandra Flanagan"/>
    <x v="0"/>
    <s v="United States"/>
    <s v="Philadelphia"/>
    <s v="Pennsylvania"/>
    <n v="19140"/>
    <x v="3"/>
    <s v="FUR-CH-10002774"/>
    <x v="0"/>
    <x v="1"/>
    <x v="23"/>
    <n v="71.372"/>
    <n v="2"/>
    <x v="4"/>
    <x v="23"/>
    <s v="Valid"/>
    <n v="267.07"/>
    <n v="656.2656164"/>
    <s v="Normal"/>
    <n v="2"/>
    <n v="-1.4285714285714287E-2"/>
    <n v="49.9604"/>
  </r>
  <r>
    <n v="25"/>
    <s v="CA-2015-106320"/>
    <x v="12"/>
    <d v="2015-09-30T00:00:00"/>
    <x v="1"/>
    <s v="EB-13870"/>
    <s v="Emily Burns"/>
    <x v="0"/>
    <s v="United States"/>
    <s v="Orem"/>
    <s v="Utah"/>
    <n v="84057"/>
    <x v="1"/>
    <s v="FUR-TA-10000577"/>
    <x v="0"/>
    <x v="3"/>
    <x v="3"/>
    <n v="1044.6300000000001"/>
    <n v="3"/>
    <x v="0"/>
    <x v="24"/>
    <s v="Valid"/>
    <n v="267.07"/>
    <n v="656.2656164"/>
    <s v="Normal"/>
    <n v="5"/>
    <n v="0.22999999999999998"/>
    <n v="1044.6300000000001"/>
  </r>
  <r>
    <n v="26"/>
    <s v="CA-2016-121755"/>
    <x v="13"/>
    <d v="2016-01-20T00:00:00"/>
    <x v="0"/>
    <s v="EH-13945"/>
    <s v="Eric Hoffmann"/>
    <x v="0"/>
    <s v="United States"/>
    <s v="Los Angeles"/>
    <s v="California"/>
    <n v="90049"/>
    <x v="1"/>
    <s v="OFF-BI-10001634"/>
    <x v="1"/>
    <x v="8"/>
    <x v="24"/>
    <n v="11.648"/>
    <n v="2"/>
    <x v="2"/>
    <x v="25"/>
    <s v="Valid"/>
    <n v="267.07"/>
    <n v="656.2656164"/>
    <s v="Normal"/>
    <n v="4"/>
    <n v="0.36250000000000004"/>
    <n v="9.3184000000000005"/>
  </r>
  <r>
    <n v="27"/>
    <s v="CA-2016-121755"/>
    <x v="13"/>
    <d v="2016-01-20T00:00:00"/>
    <x v="0"/>
    <s v="EH-13945"/>
    <s v="Eric Hoffmann"/>
    <x v="0"/>
    <s v="United States"/>
    <s v="Los Angeles"/>
    <s v="California"/>
    <n v="90049"/>
    <x v="1"/>
    <s v="TEC-AC-10003027"/>
    <x v="2"/>
    <x v="11"/>
    <x v="25"/>
    <n v="90.57"/>
    <n v="3"/>
    <x v="0"/>
    <x v="26"/>
    <s v="Valid"/>
    <n v="267.07"/>
    <n v="656.2656164"/>
    <s v="Normal"/>
    <n v="4"/>
    <n v="0.13"/>
    <n v="90.57"/>
  </r>
  <r>
    <n v="28"/>
    <s v="US-2015-150630"/>
    <x v="14"/>
    <d v="2015-09-21T00:00:00"/>
    <x v="1"/>
    <s v="TB-21520"/>
    <s v="Tracy Blumstein"/>
    <x v="0"/>
    <s v="United States"/>
    <s v="Philadelphia"/>
    <s v="Pennsylvania"/>
    <n v="19140"/>
    <x v="3"/>
    <s v="FUR-BO-10004834"/>
    <x v="0"/>
    <x v="0"/>
    <x v="26"/>
    <n v="3083.43"/>
    <n v="7"/>
    <x v="5"/>
    <x v="27"/>
    <s v="Valid"/>
    <n v="267.07"/>
    <n v="656.2656164"/>
    <s v="High Outlier"/>
    <n v="4"/>
    <n v="-0.54"/>
    <n v="1541.7149999999999"/>
  </r>
  <r>
    <n v="29"/>
    <s v="US-2015-150630"/>
    <x v="14"/>
    <d v="2015-09-21T00:00:00"/>
    <x v="1"/>
    <s v="TB-21520"/>
    <s v="Tracy Blumstein"/>
    <x v="0"/>
    <s v="United States"/>
    <s v="Philadelphia"/>
    <s v="Pennsylvania"/>
    <n v="19140"/>
    <x v="3"/>
    <s v="OFF-BI-10000474"/>
    <x v="1"/>
    <x v="8"/>
    <x v="27"/>
    <n v="9.6180000000000003"/>
    <n v="2"/>
    <x v="6"/>
    <x v="28"/>
    <s v="Valid"/>
    <n v="267.07"/>
    <n v="656.2656164"/>
    <s v="Normal"/>
    <n v="4"/>
    <n v="-0.73333333333333339"/>
    <n v="2.8854000000000006"/>
  </r>
  <r>
    <n v="30"/>
    <s v="US-2015-150630"/>
    <x v="14"/>
    <d v="2015-09-21T00:00:00"/>
    <x v="1"/>
    <s v="TB-21520"/>
    <s v="Tracy Blumstein"/>
    <x v="0"/>
    <s v="United States"/>
    <s v="Philadelphia"/>
    <s v="Pennsylvania"/>
    <n v="19140"/>
    <x v="3"/>
    <s v="FUR-FU-10004848"/>
    <x v="0"/>
    <x v="5"/>
    <x v="28"/>
    <n v="124.2"/>
    <n v="3"/>
    <x v="2"/>
    <x v="29"/>
    <s v="Valid"/>
    <n v="267.07"/>
    <n v="656.2656164"/>
    <s v="Normal"/>
    <n v="4"/>
    <n v="0.125"/>
    <n v="99.360000000000014"/>
  </r>
  <r>
    <n v="31"/>
    <s v="US-2015-150630"/>
    <x v="14"/>
    <d v="2015-09-21T00:00:00"/>
    <x v="1"/>
    <s v="TB-21520"/>
    <s v="Tracy Blumstein"/>
    <x v="0"/>
    <s v="United States"/>
    <s v="Philadelphia"/>
    <s v="Pennsylvania"/>
    <n v="19140"/>
    <x v="3"/>
    <s v="OFF-EN-10001509"/>
    <x v="1"/>
    <x v="12"/>
    <x v="29"/>
    <n v="3.2639999999999998"/>
    <n v="2"/>
    <x v="2"/>
    <x v="30"/>
    <s v="Valid"/>
    <n v="267.07"/>
    <n v="656.2656164"/>
    <s v="Normal"/>
    <n v="4"/>
    <n v="0.33750000000000002"/>
    <n v="2.6112000000000002"/>
  </r>
  <r>
    <n v="32"/>
    <s v="US-2015-150630"/>
    <x v="14"/>
    <d v="2015-09-21T00:00:00"/>
    <x v="1"/>
    <s v="TB-21520"/>
    <s v="Tracy Blumstein"/>
    <x v="0"/>
    <s v="United States"/>
    <s v="Philadelphia"/>
    <s v="Pennsylvania"/>
    <n v="19140"/>
    <x v="3"/>
    <s v="OFF-AR-10004042"/>
    <x v="1"/>
    <x v="6"/>
    <x v="30"/>
    <n v="86.304000000000002"/>
    <n v="6"/>
    <x v="2"/>
    <x v="31"/>
    <s v="Valid"/>
    <n v="267.07"/>
    <n v="656.2656164"/>
    <s v="Normal"/>
    <n v="4"/>
    <n v="0.11249999999999999"/>
    <n v="69.043199999999999"/>
  </r>
  <r>
    <n v="33"/>
    <s v="US-2015-150630"/>
    <x v="14"/>
    <d v="2015-09-21T00:00:00"/>
    <x v="1"/>
    <s v="TB-21520"/>
    <s v="Tracy Blumstein"/>
    <x v="0"/>
    <s v="United States"/>
    <s v="Philadelphia"/>
    <s v="Pennsylvania"/>
    <n v="19140"/>
    <x v="3"/>
    <s v="OFF-BI-10001525"/>
    <x v="1"/>
    <x v="8"/>
    <x v="31"/>
    <n v="6.8579999999999997"/>
    <n v="6"/>
    <x v="6"/>
    <x v="32"/>
    <s v="Valid"/>
    <n v="267.07"/>
    <n v="656.2656164"/>
    <s v="Normal"/>
    <n v="4"/>
    <n v="-0.83333333333333337"/>
    <n v="2.0574000000000003"/>
  </r>
  <r>
    <n v="34"/>
    <s v="US-2015-150630"/>
    <x v="14"/>
    <d v="2015-09-21T00:00:00"/>
    <x v="1"/>
    <s v="TB-21520"/>
    <s v="Tracy Blumstein"/>
    <x v="0"/>
    <s v="United States"/>
    <s v="Philadelphia"/>
    <s v="Pennsylvania"/>
    <n v="19140"/>
    <x v="3"/>
    <s v="OFF-AR-10001683"/>
    <x v="1"/>
    <x v="6"/>
    <x v="32"/>
    <n v="15.76"/>
    <n v="2"/>
    <x v="2"/>
    <x v="33"/>
    <s v="Valid"/>
    <n v="267.07"/>
    <n v="656.2656164"/>
    <s v="Normal"/>
    <n v="4"/>
    <n v="0.22499999999999998"/>
    <n v="12.608000000000001"/>
  </r>
  <r>
    <n v="35"/>
    <s v="CA-2017-107727"/>
    <x v="15"/>
    <d v="2017-10-23T00:00:00"/>
    <x v="0"/>
    <s v="MA-17560"/>
    <s v="Matt Abelman"/>
    <x v="2"/>
    <s v="United States"/>
    <s v="Houston"/>
    <s v="Texas"/>
    <n v="77095"/>
    <x v="2"/>
    <s v="OFF-PA-10000249"/>
    <x v="1"/>
    <x v="10"/>
    <x v="33"/>
    <n v="29.472000000000001"/>
    <n v="3"/>
    <x v="2"/>
    <x v="34"/>
    <s v="Valid"/>
    <n v="267.07"/>
    <n v="656.2656164"/>
    <s v="Normal"/>
    <n v="4"/>
    <n v="0.33749999999999997"/>
    <n v="23.577600000000004"/>
  </r>
  <r>
    <n v="36"/>
    <s v="CA-2016-117590"/>
    <x v="16"/>
    <d v="2016-12-10T00:00:00"/>
    <x v="2"/>
    <s v="GH-14485"/>
    <s v="Gene Hale"/>
    <x v="1"/>
    <s v="United States"/>
    <s v="Richardson"/>
    <s v="Texas"/>
    <n v="75080"/>
    <x v="2"/>
    <s v="TEC-PH-10004977"/>
    <x v="2"/>
    <x v="7"/>
    <x v="34"/>
    <n v="1097.5440000000001"/>
    <n v="7"/>
    <x v="2"/>
    <x v="35"/>
    <s v="Valid"/>
    <n v="267.07"/>
    <n v="656.2656164"/>
    <s v="Normal"/>
    <n v="2"/>
    <n v="0.11249999999999999"/>
    <n v="878.03520000000015"/>
  </r>
  <r>
    <n v="37"/>
    <s v="CA-2016-117590"/>
    <x v="16"/>
    <d v="2016-12-10T00:00:00"/>
    <x v="2"/>
    <s v="GH-14485"/>
    <s v="Gene Hale"/>
    <x v="1"/>
    <s v="United States"/>
    <s v="Richardson"/>
    <s v="Texas"/>
    <n v="75080"/>
    <x v="2"/>
    <s v="FUR-FU-10003664"/>
    <x v="0"/>
    <x v="5"/>
    <x v="35"/>
    <n v="190.92"/>
    <n v="5"/>
    <x v="7"/>
    <x v="36"/>
    <s v="Valid"/>
    <n v="267.07"/>
    <n v="656.2656164"/>
    <s v="Normal"/>
    <n v="2"/>
    <n v="-0.77500000000000002"/>
    <n v="76.367999999999995"/>
  </r>
  <r>
    <n v="38"/>
    <s v="CA-2015-117415"/>
    <x v="17"/>
    <d v="2015-12-31T00:00:00"/>
    <x v="1"/>
    <s v="SN-20710"/>
    <s v="Steve Nguyen"/>
    <x v="2"/>
    <s v="United States"/>
    <s v="Houston"/>
    <s v="Texas"/>
    <n v="77041"/>
    <x v="2"/>
    <s v="OFF-EN-10002986"/>
    <x v="1"/>
    <x v="12"/>
    <x v="36"/>
    <n v="113.328"/>
    <n v="9"/>
    <x v="2"/>
    <x v="37"/>
    <s v="Valid"/>
    <n v="267.07"/>
    <n v="656.2656164"/>
    <s v="Normal"/>
    <n v="4"/>
    <n v="0.3125"/>
    <n v="90.662400000000005"/>
  </r>
  <r>
    <n v="39"/>
    <s v="CA-2015-117415"/>
    <x v="17"/>
    <d v="2015-12-31T00:00:00"/>
    <x v="1"/>
    <s v="SN-20710"/>
    <s v="Steve Nguyen"/>
    <x v="2"/>
    <s v="United States"/>
    <s v="Houston"/>
    <s v="Texas"/>
    <n v="77041"/>
    <x v="2"/>
    <s v="FUR-BO-10002545"/>
    <x v="0"/>
    <x v="0"/>
    <x v="37"/>
    <n v="532.39919999999995"/>
    <n v="3"/>
    <x v="8"/>
    <x v="38"/>
    <s v="Valid"/>
    <n v="267.07"/>
    <n v="656.2656164"/>
    <s v="Normal"/>
    <n v="4"/>
    <n v="-8.8235294117647065E-2"/>
    <n v="362.03145599999993"/>
  </r>
  <r>
    <n v="40"/>
    <s v="CA-2015-117415"/>
    <x v="17"/>
    <d v="2015-12-31T00:00:00"/>
    <x v="1"/>
    <s v="SN-20710"/>
    <s v="Steve Nguyen"/>
    <x v="2"/>
    <s v="United States"/>
    <s v="Houston"/>
    <s v="Texas"/>
    <n v="77041"/>
    <x v="2"/>
    <s v="FUR-CH-10004218"/>
    <x v="0"/>
    <x v="1"/>
    <x v="38"/>
    <n v="212.05799999999999"/>
    <n v="3"/>
    <x v="4"/>
    <x v="39"/>
    <s v="Valid"/>
    <n v="267.07"/>
    <n v="656.2656164"/>
    <s v="Normal"/>
    <n v="4"/>
    <n v="-7.1428571428571438E-2"/>
    <n v="148.44059999999999"/>
  </r>
  <r>
    <n v="41"/>
    <s v="CA-2015-117415"/>
    <x v="17"/>
    <d v="2015-12-31T00:00:00"/>
    <x v="1"/>
    <s v="SN-20710"/>
    <s v="Steve Nguyen"/>
    <x v="2"/>
    <s v="United States"/>
    <s v="Houston"/>
    <s v="Texas"/>
    <n v="77041"/>
    <x v="2"/>
    <s v="TEC-PH-10000486"/>
    <x v="2"/>
    <x v="7"/>
    <x v="39"/>
    <n v="371.16800000000001"/>
    <n v="4"/>
    <x v="2"/>
    <x v="40"/>
    <s v="Valid"/>
    <n v="267.07"/>
    <n v="656.2656164"/>
    <s v="Normal"/>
    <n v="4"/>
    <n v="0.1125"/>
    <n v="296.93440000000004"/>
  </r>
  <r>
    <n v="42"/>
    <s v="CA-2017-120999"/>
    <x v="18"/>
    <d v="2017-09-15T00:00:00"/>
    <x v="1"/>
    <s v="LC-16930"/>
    <s v="Linda Cazamias"/>
    <x v="1"/>
    <s v="United States"/>
    <s v="Naperville"/>
    <s v="Illinois"/>
    <n v="60540"/>
    <x v="2"/>
    <s v="TEC-PH-10004093"/>
    <x v="2"/>
    <x v="7"/>
    <x v="40"/>
    <n v="147.16800000000001"/>
    <n v="4"/>
    <x v="2"/>
    <x v="41"/>
    <s v="Valid"/>
    <n v="267.07"/>
    <n v="656.2656164"/>
    <s v="Normal"/>
    <n v="5"/>
    <n v="0.11249999999999999"/>
    <n v="117.73440000000001"/>
  </r>
  <r>
    <n v="43"/>
    <s v="CA-2016-101343"/>
    <x v="19"/>
    <d v="2016-07-22T00:00:00"/>
    <x v="1"/>
    <s v="RA-19885"/>
    <s v="Ruben Ausman"/>
    <x v="1"/>
    <s v="United States"/>
    <s v="Los Angeles"/>
    <s v="California"/>
    <n v="90049"/>
    <x v="1"/>
    <s v="OFF-ST-10003479"/>
    <x v="1"/>
    <x v="4"/>
    <x v="41"/>
    <n v="77.88"/>
    <n v="2"/>
    <x v="0"/>
    <x v="42"/>
    <s v="Valid"/>
    <n v="267.07"/>
    <n v="656.2656164"/>
    <s v="Normal"/>
    <n v="5"/>
    <n v="0.05"/>
    <n v="77.88"/>
  </r>
  <r>
    <n v="44"/>
    <s v="CA-2017-139619"/>
    <x v="20"/>
    <d v="2017-09-23T00:00:00"/>
    <x v="1"/>
    <s v="ES-14080"/>
    <s v="Erin Smith"/>
    <x v="1"/>
    <s v="United States"/>
    <s v="Melbourne"/>
    <s v="Florida"/>
    <n v="32935"/>
    <x v="0"/>
    <s v="OFF-ST-10003282"/>
    <x v="1"/>
    <x v="4"/>
    <x v="42"/>
    <n v="95.616"/>
    <n v="2"/>
    <x v="2"/>
    <x v="43"/>
    <s v="Valid"/>
    <n v="267.07"/>
    <n v="656.2656164"/>
    <s v="Normal"/>
    <n v="4"/>
    <n v="0.1"/>
    <n v="76.492800000000003"/>
  </r>
  <r>
    <n v="45"/>
    <s v="CA-2016-118255"/>
    <x v="21"/>
    <d v="2016-03-13T00:00:00"/>
    <x v="2"/>
    <s v="ON-18715"/>
    <s v="Odella Nelson"/>
    <x v="1"/>
    <s v="United States"/>
    <s v="Eagan"/>
    <s v="Minnesota"/>
    <n v="55122"/>
    <x v="2"/>
    <s v="TEC-AC-10000171"/>
    <x v="2"/>
    <x v="11"/>
    <x v="43"/>
    <n v="45.98"/>
    <n v="2"/>
    <x v="0"/>
    <x v="44"/>
    <s v="Valid"/>
    <n v="267.07"/>
    <n v="656.2656164"/>
    <s v="Normal"/>
    <n v="2"/>
    <n v="0.43000000000000005"/>
    <n v="45.98"/>
  </r>
  <r>
    <n v="46"/>
    <s v="CA-2016-118255"/>
    <x v="21"/>
    <d v="2016-03-13T00:00:00"/>
    <x v="2"/>
    <s v="ON-18715"/>
    <s v="Odella Nelson"/>
    <x v="1"/>
    <s v="United States"/>
    <s v="Eagan"/>
    <s v="Minnesota"/>
    <n v="55122"/>
    <x v="2"/>
    <s v="OFF-BI-10003291"/>
    <x v="1"/>
    <x v="8"/>
    <x v="44"/>
    <n v="17.46"/>
    <n v="2"/>
    <x v="0"/>
    <x v="45"/>
    <s v="Valid"/>
    <n v="267.07"/>
    <n v="656.2656164"/>
    <s v="Normal"/>
    <n v="2"/>
    <n v="0.47000000000000003"/>
    <n v="17.46"/>
  </r>
  <r>
    <n v="47"/>
    <s v="CA-2014-146703"/>
    <x v="22"/>
    <d v="2014-10-25T00:00:00"/>
    <x v="0"/>
    <s v="PO-18865"/>
    <s v="Patrick O'Donnell"/>
    <x v="0"/>
    <s v="United States"/>
    <s v="Westland"/>
    <s v="Michigan"/>
    <n v="48185"/>
    <x v="2"/>
    <s v="OFF-ST-10001713"/>
    <x v="1"/>
    <x v="4"/>
    <x v="45"/>
    <n v="211.96"/>
    <n v="4"/>
    <x v="0"/>
    <x v="46"/>
    <s v="Valid"/>
    <n v="267.07"/>
    <n v="656.2656164"/>
    <s v="Normal"/>
    <n v="5"/>
    <n v="0.04"/>
    <n v="211.96"/>
  </r>
  <r>
    <n v="48"/>
    <s v="CA-2016-169194"/>
    <x v="23"/>
    <d v="2016-06-25T00:00:00"/>
    <x v="1"/>
    <s v="LH-16900"/>
    <s v="Lena Hernandez"/>
    <x v="0"/>
    <s v="United States"/>
    <s v="Dover"/>
    <s v="Delaware"/>
    <n v="19901"/>
    <x v="3"/>
    <s v="TEC-AC-10002167"/>
    <x v="2"/>
    <x v="11"/>
    <x v="46"/>
    <n v="45"/>
    <n v="3"/>
    <x v="0"/>
    <x v="47"/>
    <s v="Valid"/>
    <n v="267.07"/>
    <n v="656.2656164"/>
    <s v="Normal"/>
    <n v="5"/>
    <n v="0.11"/>
    <n v="45"/>
  </r>
  <r>
    <n v="49"/>
    <s v="CA-2016-169194"/>
    <x v="23"/>
    <d v="2016-06-25T00:00:00"/>
    <x v="1"/>
    <s v="LH-16900"/>
    <s v="Lena Hernandez"/>
    <x v="0"/>
    <s v="United States"/>
    <s v="Dover"/>
    <s v="Delaware"/>
    <n v="19901"/>
    <x v="3"/>
    <s v="TEC-PH-10003988"/>
    <x v="2"/>
    <x v="7"/>
    <x v="47"/>
    <n v="21.8"/>
    <n v="2"/>
    <x v="0"/>
    <x v="48"/>
    <s v="Valid"/>
    <n v="267.07"/>
    <n v="656.2656164"/>
    <s v="Normal"/>
    <n v="5"/>
    <n v="0.27999999999999997"/>
    <n v="21.8"/>
  </r>
  <r>
    <n v="50"/>
    <s v="CA-2015-115742"/>
    <x v="24"/>
    <d v="2015-04-22T00:00:00"/>
    <x v="1"/>
    <s v="DP-13000"/>
    <s v="Darren Powers"/>
    <x v="0"/>
    <s v="United States"/>
    <s v="New Albany"/>
    <s v="Indiana"/>
    <n v="47150"/>
    <x v="2"/>
    <s v="OFF-BI-10004410"/>
    <x v="1"/>
    <x v="8"/>
    <x v="48"/>
    <n v="38.22"/>
    <n v="6"/>
    <x v="0"/>
    <x v="49"/>
    <s v="Valid"/>
    <n v="267.07"/>
    <n v="656.2656164"/>
    <s v="Normal"/>
    <n v="4"/>
    <n v="0.47000000000000003"/>
    <n v="38.22"/>
  </r>
  <r>
    <n v="51"/>
    <s v="CA-2015-115742"/>
    <x v="24"/>
    <d v="2015-04-22T00:00:00"/>
    <x v="1"/>
    <s v="DP-13000"/>
    <s v="Darren Powers"/>
    <x v="0"/>
    <s v="United States"/>
    <s v="New Albany"/>
    <s v="Indiana"/>
    <n v="47150"/>
    <x v="2"/>
    <s v="OFF-LA-10002762"/>
    <x v="1"/>
    <x v="2"/>
    <x v="49"/>
    <n v="75.180000000000007"/>
    <n v="6"/>
    <x v="0"/>
    <x v="50"/>
    <s v="Valid"/>
    <n v="267.07"/>
    <n v="656.2656164"/>
    <s v="Normal"/>
    <n v="4"/>
    <n v="0.47"/>
    <n v="75.180000000000007"/>
  </r>
  <r>
    <n v="52"/>
    <s v="CA-2015-115742"/>
    <x v="24"/>
    <d v="2015-04-22T00:00:00"/>
    <x v="1"/>
    <s v="DP-13000"/>
    <s v="Darren Powers"/>
    <x v="0"/>
    <s v="United States"/>
    <s v="New Albany"/>
    <s v="Indiana"/>
    <n v="47150"/>
    <x v="2"/>
    <s v="FUR-FU-10001706"/>
    <x v="0"/>
    <x v="5"/>
    <x v="50"/>
    <n v="6.16"/>
    <n v="2"/>
    <x v="0"/>
    <x v="51"/>
    <s v="Valid"/>
    <n v="267.07"/>
    <n v="656.2656164"/>
    <s v="Normal"/>
    <n v="4"/>
    <n v="0.48"/>
    <n v="6.16"/>
  </r>
  <r>
    <n v="53"/>
    <s v="CA-2015-115742"/>
    <x v="24"/>
    <d v="2015-04-22T00:00:00"/>
    <x v="1"/>
    <s v="DP-13000"/>
    <s v="Darren Powers"/>
    <x v="0"/>
    <s v="United States"/>
    <s v="New Albany"/>
    <s v="Indiana"/>
    <n v="47150"/>
    <x v="2"/>
    <s v="FUR-CH-10003061"/>
    <x v="0"/>
    <x v="1"/>
    <x v="51"/>
    <n v="89.99"/>
    <n v="1"/>
    <x v="0"/>
    <x v="52"/>
    <s v="Valid"/>
    <n v="267.07"/>
    <n v="656.2656164"/>
    <s v="Normal"/>
    <n v="4"/>
    <n v="0.19"/>
    <n v="89.99"/>
  </r>
  <r>
    <n v="54"/>
    <s v="CA-2016-105816"/>
    <x v="25"/>
    <d v="2016-12-17T00:00:00"/>
    <x v="1"/>
    <s v="JM-15265"/>
    <s v="Janet Molinari"/>
    <x v="1"/>
    <s v="United States"/>
    <s v="New York City"/>
    <s v="New York"/>
    <n v="10024"/>
    <x v="3"/>
    <s v="OFF-FA-10000304"/>
    <x v="1"/>
    <x v="13"/>
    <x v="52"/>
    <n v="15.26"/>
    <n v="7"/>
    <x v="0"/>
    <x v="53"/>
    <s v="Valid"/>
    <n v="267.07"/>
    <n v="656.2656164"/>
    <s v="Normal"/>
    <n v="6"/>
    <n v="0.41"/>
    <n v="15.26"/>
  </r>
  <r>
    <n v="55"/>
    <s v="CA-2016-105816"/>
    <x v="25"/>
    <d v="2016-12-17T00:00:00"/>
    <x v="1"/>
    <s v="JM-15265"/>
    <s v="Janet Molinari"/>
    <x v="1"/>
    <s v="United States"/>
    <s v="New York City"/>
    <s v="New York"/>
    <n v="10024"/>
    <x v="3"/>
    <s v="TEC-PH-10002447"/>
    <x v="2"/>
    <x v="7"/>
    <x v="53"/>
    <n v="1029.95"/>
    <n v="5"/>
    <x v="0"/>
    <x v="54"/>
    <s v="Valid"/>
    <n v="267.07"/>
    <n v="656.2656164"/>
    <s v="Normal"/>
    <n v="6"/>
    <n v="0.28999999999999998"/>
    <n v="1029.95"/>
  </r>
  <r>
    <n v="56"/>
    <s v="CA-2016-111682"/>
    <x v="26"/>
    <d v="2016-06-18T00:00:00"/>
    <x v="2"/>
    <s v="TB-21055"/>
    <s v="Ted Butterfield"/>
    <x v="0"/>
    <s v="United States"/>
    <s v="Troy"/>
    <s v="New York"/>
    <n v="12180"/>
    <x v="3"/>
    <s v="OFF-ST-10000604"/>
    <x v="1"/>
    <x v="4"/>
    <x v="54"/>
    <n v="208.56"/>
    <n v="6"/>
    <x v="0"/>
    <x v="55"/>
    <s v="Valid"/>
    <n v="267.07"/>
    <n v="656.2656164"/>
    <s v="Normal"/>
    <n v="1"/>
    <n v="0.25"/>
    <n v="208.56"/>
  </r>
  <r>
    <n v="57"/>
    <s v="CA-2016-111682"/>
    <x v="26"/>
    <d v="2016-06-18T00:00:00"/>
    <x v="2"/>
    <s v="TB-21055"/>
    <s v="Ted Butterfield"/>
    <x v="0"/>
    <s v="United States"/>
    <s v="Troy"/>
    <s v="New York"/>
    <n v="12180"/>
    <x v="3"/>
    <s v="OFF-PA-10001569"/>
    <x v="1"/>
    <x v="10"/>
    <x v="55"/>
    <n v="32.4"/>
    <n v="5"/>
    <x v="0"/>
    <x v="56"/>
    <s v="Valid"/>
    <n v="267.07"/>
    <n v="656.2656164"/>
    <s v="Normal"/>
    <n v="1"/>
    <n v="0.48"/>
    <n v="32.4"/>
  </r>
  <r>
    <n v="58"/>
    <s v="CA-2016-111682"/>
    <x v="26"/>
    <d v="2016-06-18T00:00:00"/>
    <x v="2"/>
    <s v="TB-21055"/>
    <s v="Ted Butterfield"/>
    <x v="0"/>
    <s v="United States"/>
    <s v="Troy"/>
    <s v="New York"/>
    <n v="12180"/>
    <x v="3"/>
    <s v="FUR-CH-10003968"/>
    <x v="0"/>
    <x v="1"/>
    <x v="56"/>
    <n v="319.41000000000003"/>
    <n v="5"/>
    <x v="9"/>
    <x v="57"/>
    <s v="Valid"/>
    <n v="267.07"/>
    <n v="656.2656164"/>
    <s v="Normal"/>
    <n v="1"/>
    <n v="2.222222222222222E-2"/>
    <n v="287.46900000000005"/>
  </r>
  <r>
    <n v="59"/>
    <s v="CA-2016-111682"/>
    <x v="26"/>
    <d v="2016-06-18T00:00:00"/>
    <x v="2"/>
    <s v="TB-21055"/>
    <s v="Ted Butterfield"/>
    <x v="0"/>
    <s v="United States"/>
    <s v="Troy"/>
    <s v="New York"/>
    <n v="12180"/>
    <x v="3"/>
    <s v="OFF-PA-10000587"/>
    <x v="1"/>
    <x v="10"/>
    <x v="57"/>
    <n v="14.56"/>
    <n v="2"/>
    <x v="0"/>
    <x v="58"/>
    <s v="Valid"/>
    <n v="267.07"/>
    <n v="656.2656164"/>
    <s v="Normal"/>
    <n v="1"/>
    <n v="0.48"/>
    <n v="14.56"/>
  </r>
  <r>
    <n v="60"/>
    <s v="CA-2016-111682"/>
    <x v="26"/>
    <d v="2016-06-18T00:00:00"/>
    <x v="2"/>
    <s v="TB-21055"/>
    <s v="Ted Butterfield"/>
    <x v="0"/>
    <s v="United States"/>
    <s v="Troy"/>
    <s v="New York"/>
    <n v="12180"/>
    <x v="3"/>
    <s v="TEC-AC-10002167"/>
    <x v="2"/>
    <x v="11"/>
    <x v="46"/>
    <n v="30"/>
    <n v="2"/>
    <x v="0"/>
    <x v="59"/>
    <s v="Valid"/>
    <n v="267.07"/>
    <n v="656.2656164"/>
    <s v="Normal"/>
    <n v="1"/>
    <n v="0.11"/>
    <n v="30"/>
  </r>
  <r>
    <n v="61"/>
    <s v="CA-2016-111682"/>
    <x v="26"/>
    <d v="2016-06-18T00:00:00"/>
    <x v="2"/>
    <s v="TB-21055"/>
    <s v="Ted Butterfield"/>
    <x v="0"/>
    <s v="United States"/>
    <s v="Troy"/>
    <s v="New York"/>
    <n v="12180"/>
    <x v="3"/>
    <s v="OFF-BI-10001460"/>
    <x v="1"/>
    <x v="8"/>
    <x v="58"/>
    <n v="48.48"/>
    <n v="4"/>
    <x v="2"/>
    <x v="60"/>
    <s v="Valid"/>
    <n v="267.07"/>
    <n v="656.2656164"/>
    <s v="Normal"/>
    <n v="1"/>
    <n v="0.33749999999999997"/>
    <n v="38.783999999999999"/>
  </r>
  <r>
    <n v="62"/>
    <s v="CA-2016-111682"/>
    <x v="26"/>
    <d v="2016-06-18T00:00:00"/>
    <x v="2"/>
    <s v="TB-21055"/>
    <s v="Ted Butterfield"/>
    <x v="0"/>
    <s v="United States"/>
    <s v="Troy"/>
    <s v="New York"/>
    <n v="12180"/>
    <x v="3"/>
    <s v="OFF-AR-10001868"/>
    <x v="1"/>
    <x v="6"/>
    <x v="59"/>
    <n v="1.68"/>
    <n v="1"/>
    <x v="0"/>
    <x v="61"/>
    <s v="Valid"/>
    <n v="267.07"/>
    <n v="656.2656164"/>
    <s v="Normal"/>
    <n v="1"/>
    <n v="0.5"/>
    <n v="1.68"/>
  </r>
  <r>
    <n v="63"/>
    <s v="CA-2015-135545"/>
    <x v="27"/>
    <d v="2015-11-30T00:00:00"/>
    <x v="1"/>
    <s v="KM-16720"/>
    <s v="Kunst Miller"/>
    <x v="0"/>
    <s v="United States"/>
    <s v="Los Angeles"/>
    <s v="California"/>
    <n v="90004"/>
    <x v="1"/>
    <s v="TEC-AC-10004633"/>
    <x v="2"/>
    <x v="11"/>
    <x v="60"/>
    <n v="13.98"/>
    <n v="2"/>
    <x v="0"/>
    <x v="62"/>
    <s v="Valid"/>
    <n v="267.07"/>
    <n v="656.2656164"/>
    <s v="Normal"/>
    <n v="6"/>
    <n v="0.44"/>
    <n v="13.98"/>
  </r>
  <r>
    <n v="64"/>
    <s v="CA-2015-135545"/>
    <x v="27"/>
    <d v="2015-11-30T00:00:00"/>
    <x v="1"/>
    <s v="KM-16720"/>
    <s v="Kunst Miller"/>
    <x v="0"/>
    <s v="United States"/>
    <s v="Los Angeles"/>
    <s v="California"/>
    <n v="90004"/>
    <x v="1"/>
    <s v="OFF-BI-10001078"/>
    <x v="1"/>
    <x v="8"/>
    <x v="61"/>
    <n v="25.824000000000002"/>
    <n v="6"/>
    <x v="2"/>
    <x v="63"/>
    <s v="Valid"/>
    <n v="267.07"/>
    <n v="656.2656164"/>
    <s v="Normal"/>
    <n v="6"/>
    <n v="0.36249999999999999"/>
    <n v="20.659200000000002"/>
  </r>
  <r>
    <n v="65"/>
    <s v="CA-2015-135545"/>
    <x v="27"/>
    <d v="2015-11-30T00:00:00"/>
    <x v="1"/>
    <s v="KM-16720"/>
    <s v="Kunst Miller"/>
    <x v="0"/>
    <s v="United States"/>
    <s v="Los Angeles"/>
    <s v="California"/>
    <n v="90004"/>
    <x v="1"/>
    <s v="OFF-PA-10003892"/>
    <x v="1"/>
    <x v="10"/>
    <x v="62"/>
    <n v="146.72999999999999"/>
    <n v="3"/>
    <x v="0"/>
    <x v="64"/>
    <s v="Valid"/>
    <n v="267.07"/>
    <n v="656.2656164"/>
    <s v="Normal"/>
    <n v="6"/>
    <n v="0.47000000000000003"/>
    <n v="146.72999999999999"/>
  </r>
  <r>
    <n v="66"/>
    <s v="CA-2015-135545"/>
    <x v="27"/>
    <d v="2015-11-30T00:00:00"/>
    <x v="1"/>
    <s v="KM-16720"/>
    <s v="Kunst Miller"/>
    <x v="0"/>
    <s v="United States"/>
    <s v="Los Angeles"/>
    <s v="California"/>
    <n v="90004"/>
    <x v="1"/>
    <s v="FUR-FU-10000397"/>
    <x v="0"/>
    <x v="5"/>
    <x v="63"/>
    <n v="79.760000000000005"/>
    <n v="4"/>
    <x v="0"/>
    <x v="65"/>
    <s v="Valid"/>
    <n v="267.07"/>
    <n v="656.2656164"/>
    <s v="Normal"/>
    <n v="6"/>
    <n v="0.27999999999999997"/>
    <n v="79.760000000000005"/>
  </r>
  <r>
    <n v="67"/>
    <s v="US-2015-164175"/>
    <x v="28"/>
    <d v="2015-05-05T00:00:00"/>
    <x v="1"/>
    <s v="PS-18970"/>
    <s v="Paul Stevenson"/>
    <x v="2"/>
    <s v="United States"/>
    <s v="Chicago"/>
    <s v="Illinois"/>
    <n v="60610"/>
    <x v="2"/>
    <s v="FUR-CH-10001146"/>
    <x v="0"/>
    <x v="1"/>
    <x v="64"/>
    <n v="213.11500000000001"/>
    <n v="5"/>
    <x v="4"/>
    <x v="66"/>
    <s v="Valid"/>
    <n v="267.07"/>
    <n v="656.2656164"/>
    <s v="Normal"/>
    <n v="5"/>
    <n v="-7.1428571428571425E-2"/>
    <n v="149.18049999999999"/>
  </r>
  <r>
    <n v="68"/>
    <s v="CA-2014-106376"/>
    <x v="29"/>
    <d v="2014-12-10T00:00:00"/>
    <x v="1"/>
    <s v="BS-11590"/>
    <s v="Brendan Sweed"/>
    <x v="1"/>
    <s v="United States"/>
    <s v="Gilbert"/>
    <s v="Arizona"/>
    <n v="85234"/>
    <x v="1"/>
    <s v="OFF-AR-10002671"/>
    <x v="1"/>
    <x v="6"/>
    <x v="65"/>
    <n v="1113.0239999999999"/>
    <n v="8"/>
    <x v="2"/>
    <x v="67"/>
    <s v="Valid"/>
    <n v="267.07"/>
    <n v="656.2656164"/>
    <s v="Normal"/>
    <n v="5"/>
    <n v="0.10000000000000002"/>
    <n v="890.41919999999993"/>
  </r>
  <r>
    <n v="69"/>
    <s v="CA-2014-106376"/>
    <x v="29"/>
    <d v="2014-12-10T00:00:00"/>
    <x v="1"/>
    <s v="BS-11590"/>
    <s v="Brendan Sweed"/>
    <x v="1"/>
    <s v="United States"/>
    <s v="Gilbert"/>
    <s v="Arizona"/>
    <n v="85234"/>
    <x v="1"/>
    <s v="TEC-PH-10002726"/>
    <x v="2"/>
    <x v="7"/>
    <x v="66"/>
    <n v="167.96799999999999"/>
    <n v="4"/>
    <x v="2"/>
    <x v="68"/>
    <s v="Valid"/>
    <n v="267.07"/>
    <n v="656.2656164"/>
    <s v="Normal"/>
    <n v="5"/>
    <n v="0.375"/>
    <n v="134.37440000000001"/>
  </r>
  <r>
    <n v="70"/>
    <s v="CA-2016-119823"/>
    <x v="30"/>
    <d v="2016-06-06T00:00:00"/>
    <x v="2"/>
    <s v="KD-16270"/>
    <s v="Karen Daniels"/>
    <x v="0"/>
    <s v="United States"/>
    <s v="Springfield"/>
    <s v="Virginia"/>
    <n v="22153"/>
    <x v="0"/>
    <s v="OFF-PA-10000482"/>
    <x v="1"/>
    <x v="10"/>
    <x v="67"/>
    <n v="75.88"/>
    <n v="2"/>
    <x v="0"/>
    <x v="69"/>
    <s v="Valid"/>
    <n v="267.07"/>
    <n v="656.2656164"/>
    <s v="Normal"/>
    <n v="2"/>
    <n v="0.47000000000000008"/>
    <n v="75.88"/>
  </r>
  <r>
    <n v="71"/>
    <s v="CA-2016-106075"/>
    <x v="31"/>
    <d v="2016-09-23T00:00:00"/>
    <x v="1"/>
    <s v="HM-14980"/>
    <s v="Henry MacAllister"/>
    <x v="0"/>
    <s v="United States"/>
    <s v="New York City"/>
    <s v="New York"/>
    <n v="10009"/>
    <x v="3"/>
    <s v="OFF-BI-10004654"/>
    <x v="1"/>
    <x v="8"/>
    <x v="68"/>
    <n v="4.6159999999999997"/>
    <n v="1"/>
    <x v="2"/>
    <x v="70"/>
    <s v="Valid"/>
    <n v="267.07"/>
    <n v="656.2656164"/>
    <s v="Normal"/>
    <n v="5"/>
    <n v="0.37500000000000006"/>
    <n v="3.6928000000000001"/>
  </r>
  <r>
    <n v="72"/>
    <s v="CA-2017-114440"/>
    <x v="32"/>
    <d v="2017-09-17T00:00:00"/>
    <x v="0"/>
    <s v="TB-21520"/>
    <s v="Tracy Blumstein"/>
    <x v="0"/>
    <s v="United States"/>
    <s v="Jackson"/>
    <s v="Michigan"/>
    <n v="49201"/>
    <x v="2"/>
    <s v="OFF-PA-10004675"/>
    <x v="1"/>
    <x v="10"/>
    <x v="69"/>
    <n v="19.05"/>
    <n v="3"/>
    <x v="0"/>
    <x v="71"/>
    <s v="Valid"/>
    <n v="267.07"/>
    <n v="656.2656164"/>
    <s v="Normal"/>
    <n v="3"/>
    <n v="0.45999999999999996"/>
    <n v="19.05"/>
  </r>
  <r>
    <n v="73"/>
    <s v="US-2015-134026"/>
    <x v="33"/>
    <d v="2015-05-02T00:00:00"/>
    <x v="1"/>
    <s v="JE-15745"/>
    <s v="Joel Eaton"/>
    <x v="0"/>
    <s v="United States"/>
    <s v="Memphis"/>
    <s v="Tennessee"/>
    <n v="38109"/>
    <x v="0"/>
    <s v="FUR-CH-10000513"/>
    <x v="0"/>
    <x v="1"/>
    <x v="70"/>
    <n v="831.93600000000004"/>
    <n v="8"/>
    <x v="2"/>
    <x v="72"/>
    <s v="Valid"/>
    <n v="267.07"/>
    <n v="656.2656164"/>
    <s v="Normal"/>
    <n v="6"/>
    <n v="-0.13749999999999998"/>
    <n v="665.54880000000003"/>
  </r>
  <r>
    <n v="74"/>
    <s v="US-2015-134026"/>
    <x v="33"/>
    <d v="2015-05-02T00:00:00"/>
    <x v="1"/>
    <s v="JE-15745"/>
    <s v="Joel Eaton"/>
    <x v="0"/>
    <s v="United States"/>
    <s v="Memphis"/>
    <s v="Tennessee"/>
    <n v="38109"/>
    <x v="0"/>
    <s v="FUR-FU-10003708"/>
    <x v="0"/>
    <x v="5"/>
    <x v="71"/>
    <n v="97.04"/>
    <n v="2"/>
    <x v="2"/>
    <x v="73"/>
    <s v="Valid"/>
    <n v="267.07"/>
    <n v="656.2656164"/>
    <s v="Normal"/>
    <n v="6"/>
    <n v="1.2500000000000001E-2"/>
    <n v="77.632000000000005"/>
  </r>
  <r>
    <n v="75"/>
    <s v="US-2015-134026"/>
    <x v="33"/>
    <d v="2015-05-02T00:00:00"/>
    <x v="1"/>
    <s v="JE-15745"/>
    <s v="Joel Eaton"/>
    <x v="0"/>
    <s v="United States"/>
    <s v="Memphis"/>
    <s v="Tennessee"/>
    <n v="38109"/>
    <x v="0"/>
    <s v="OFF-ST-10004123"/>
    <x v="1"/>
    <x v="4"/>
    <x v="72"/>
    <n v="72.784000000000006"/>
    <n v="1"/>
    <x v="2"/>
    <x v="74"/>
    <s v="Valid"/>
    <n v="267.07"/>
    <n v="656.2656164"/>
    <s v="Normal"/>
    <n v="6"/>
    <n v="-0.25"/>
    <n v="58.227200000000011"/>
  </r>
  <r>
    <n v="76"/>
    <s v="US-2017-118038"/>
    <x v="34"/>
    <d v="2017-12-11T00:00:00"/>
    <x v="2"/>
    <s v="KB-16600"/>
    <s v="Ken Brennan"/>
    <x v="1"/>
    <s v="United States"/>
    <s v="Houston"/>
    <s v="Texas"/>
    <n v="77041"/>
    <x v="2"/>
    <s v="OFF-BI-10004182"/>
    <x v="1"/>
    <x v="8"/>
    <x v="73"/>
    <n v="1.248"/>
    <n v="3"/>
    <x v="3"/>
    <x v="75"/>
    <s v="Valid"/>
    <n v="267.07"/>
    <n v="656.2656164"/>
    <s v="Normal"/>
    <n v="2"/>
    <n v="-1.5499999999999998"/>
    <n v="0.24959999999999993"/>
  </r>
  <r>
    <n v="77"/>
    <s v="US-2017-118038"/>
    <x v="34"/>
    <d v="2017-12-11T00:00:00"/>
    <x v="2"/>
    <s v="KB-16600"/>
    <s v="Ken Brennan"/>
    <x v="1"/>
    <s v="United States"/>
    <s v="Houston"/>
    <s v="Texas"/>
    <n v="77041"/>
    <x v="2"/>
    <s v="FUR-FU-10000260"/>
    <x v="0"/>
    <x v="5"/>
    <x v="74"/>
    <n v="9.7080000000000002"/>
    <n v="3"/>
    <x v="7"/>
    <x v="76"/>
    <s v="Valid"/>
    <n v="267.07"/>
    <n v="656.2656164"/>
    <s v="Normal"/>
    <n v="2"/>
    <n v="-0.6"/>
    <n v="3.8832000000000004"/>
  </r>
  <r>
    <n v="78"/>
    <s v="US-2017-118038"/>
    <x v="34"/>
    <d v="2017-12-11T00:00:00"/>
    <x v="2"/>
    <s v="KB-16600"/>
    <s v="Ken Brennan"/>
    <x v="1"/>
    <s v="United States"/>
    <s v="Houston"/>
    <s v="Texas"/>
    <n v="77041"/>
    <x v="2"/>
    <s v="OFF-ST-10000615"/>
    <x v="1"/>
    <x v="4"/>
    <x v="75"/>
    <n v="27.24"/>
    <n v="3"/>
    <x v="2"/>
    <x v="77"/>
    <s v="Valid"/>
    <n v="267.07"/>
    <n v="656.2656164"/>
    <s v="Normal"/>
    <n v="2"/>
    <n v="0.10000000000000002"/>
    <n v="21.792000000000002"/>
  </r>
  <r>
    <n v="79"/>
    <s v="US-2014-147606"/>
    <x v="35"/>
    <d v="2014-12-01T00:00:00"/>
    <x v="0"/>
    <s v="JE-15745"/>
    <s v="Joel Eaton"/>
    <x v="0"/>
    <s v="United States"/>
    <s v="Houston"/>
    <s v="Texas"/>
    <n v="77070"/>
    <x v="2"/>
    <s v="FUR-FU-10003194"/>
    <x v="0"/>
    <x v="5"/>
    <x v="76"/>
    <n v="19.3"/>
    <n v="5"/>
    <x v="7"/>
    <x v="78"/>
    <s v="Valid"/>
    <n v="267.07"/>
    <n v="656.2656164"/>
    <s v="Normal"/>
    <n v="5"/>
    <n v="-0.75"/>
    <n v="7.7200000000000006"/>
  </r>
  <r>
    <n v="80"/>
    <s v="CA-2016-127208"/>
    <x v="1"/>
    <d v="2016-06-15T00:00:00"/>
    <x v="2"/>
    <s v="SC-20770"/>
    <s v="Stewart Carmichael"/>
    <x v="1"/>
    <s v="United States"/>
    <s v="Decatur"/>
    <s v="Alabama"/>
    <n v="35601"/>
    <x v="0"/>
    <s v="OFF-AP-10002118"/>
    <x v="1"/>
    <x v="9"/>
    <x v="77"/>
    <n v="208.16"/>
    <n v="1"/>
    <x v="0"/>
    <x v="79"/>
    <s v="Valid"/>
    <n v="267.07"/>
    <n v="656.2656164"/>
    <s v="Normal"/>
    <n v="3"/>
    <n v="0.27"/>
    <n v="208.16"/>
  </r>
  <r>
    <n v="81"/>
    <s v="CA-2016-127208"/>
    <x v="1"/>
    <d v="2016-06-15T00:00:00"/>
    <x v="2"/>
    <s v="SC-20770"/>
    <s v="Stewart Carmichael"/>
    <x v="1"/>
    <s v="United States"/>
    <s v="Decatur"/>
    <s v="Alabama"/>
    <n v="35601"/>
    <x v="0"/>
    <s v="OFF-BI-10002309"/>
    <x v="1"/>
    <x v="8"/>
    <x v="78"/>
    <n v="16.739999999999998"/>
    <n v="3"/>
    <x v="0"/>
    <x v="80"/>
    <s v="Valid"/>
    <n v="267.07"/>
    <n v="656.2656164"/>
    <s v="Normal"/>
    <n v="3"/>
    <n v="0.48000000000000004"/>
    <n v="16.739999999999998"/>
  </r>
  <r>
    <n v="82"/>
    <s v="CA-2014-139451"/>
    <x v="36"/>
    <d v="2014-10-16T00:00:00"/>
    <x v="1"/>
    <s v="DN-13690"/>
    <s v="Duane Noonan"/>
    <x v="0"/>
    <s v="United States"/>
    <s v="San Francisco"/>
    <s v="California"/>
    <n v="94122"/>
    <x v="1"/>
    <s v="OFF-AR-10002053"/>
    <x v="1"/>
    <x v="6"/>
    <x v="79"/>
    <n v="14.9"/>
    <n v="5"/>
    <x v="0"/>
    <x v="81"/>
    <s v="Valid"/>
    <n v="267.07"/>
    <n v="656.2656164"/>
    <s v="Normal"/>
    <n v="4"/>
    <n v="0.27999999999999997"/>
    <n v="14.9"/>
  </r>
  <r>
    <n v="83"/>
    <s v="CA-2014-139451"/>
    <x v="36"/>
    <d v="2014-10-16T00:00:00"/>
    <x v="1"/>
    <s v="DN-13690"/>
    <s v="Duane Noonan"/>
    <x v="0"/>
    <s v="United States"/>
    <s v="San Francisco"/>
    <s v="California"/>
    <n v="94122"/>
    <x v="1"/>
    <s v="OFF-ST-10002370"/>
    <x v="1"/>
    <x v="4"/>
    <x v="80"/>
    <n v="21.39"/>
    <n v="1"/>
    <x v="0"/>
    <x v="82"/>
    <s v="Valid"/>
    <n v="267.07"/>
    <n v="656.2656164"/>
    <s v="Normal"/>
    <n v="4"/>
    <n v="0.28999999999999998"/>
    <n v="21.39"/>
  </r>
  <r>
    <n v="84"/>
    <s v="CA-2015-149734"/>
    <x v="37"/>
    <d v="2015-09-08T00:00:00"/>
    <x v="1"/>
    <s v="JC-16105"/>
    <s v="Julie Creighton"/>
    <x v="1"/>
    <s v="United States"/>
    <s v="Durham"/>
    <s v="North Carolina"/>
    <n v="27707"/>
    <x v="0"/>
    <s v="OFF-EN-10000927"/>
    <x v="1"/>
    <x v="12"/>
    <x v="81"/>
    <n v="200.98400000000001"/>
    <n v="7"/>
    <x v="2"/>
    <x v="83"/>
    <s v="Valid"/>
    <n v="267.07"/>
    <n v="656.2656164"/>
    <s v="Normal"/>
    <n v="5"/>
    <n v="0.3125"/>
    <n v="160.78720000000001"/>
  </r>
  <r>
    <n v="85"/>
    <s v="US-2017-119662"/>
    <x v="38"/>
    <d v="2017-11-16T00:00:00"/>
    <x v="2"/>
    <s v="CS-12400"/>
    <s v="Christopher Schild"/>
    <x v="2"/>
    <s v="United States"/>
    <s v="Chicago"/>
    <s v="Illinois"/>
    <n v="60623"/>
    <x v="2"/>
    <s v="OFF-ST-10003656"/>
    <x v="1"/>
    <x v="4"/>
    <x v="82"/>
    <n v="230.376"/>
    <n v="3"/>
    <x v="2"/>
    <x v="84"/>
    <s v="Valid"/>
    <n v="267.07"/>
    <n v="656.2656164"/>
    <s v="Normal"/>
    <n v="3"/>
    <n v="-0.21249999999999999"/>
    <n v="184.30080000000001"/>
  </r>
  <r>
    <n v="86"/>
    <s v="CA-2017-140088"/>
    <x v="39"/>
    <d v="2017-05-30T00:00:00"/>
    <x v="0"/>
    <s v="PO-18865"/>
    <s v="Patrick O'Donnell"/>
    <x v="0"/>
    <s v="United States"/>
    <s v="Columbia"/>
    <s v="South Carolina"/>
    <n v="29203"/>
    <x v="0"/>
    <s v="FUR-CH-10000863"/>
    <x v="0"/>
    <x v="1"/>
    <x v="83"/>
    <n v="301.95999999999998"/>
    <n v="2"/>
    <x v="0"/>
    <x v="85"/>
    <s v="Valid"/>
    <n v="267.07"/>
    <n v="656.2656164"/>
    <s v="Normal"/>
    <n v="2"/>
    <n v="0.11000000000000001"/>
    <n v="301.95999999999998"/>
  </r>
  <r>
    <n v="87"/>
    <s v="CA-2017-155558"/>
    <x v="40"/>
    <d v="2017-11-02T00:00:00"/>
    <x v="1"/>
    <s v="PG-18895"/>
    <s v="Paul Gonzalez"/>
    <x v="0"/>
    <s v="United States"/>
    <s v="Rochester"/>
    <s v="Minnesota"/>
    <n v="55901"/>
    <x v="2"/>
    <s v="TEC-AC-10001998"/>
    <x v="2"/>
    <x v="11"/>
    <x v="84"/>
    <n v="19.989999999999998"/>
    <n v="1"/>
    <x v="0"/>
    <x v="86"/>
    <s v="Valid"/>
    <n v="267.07"/>
    <n v="656.2656164"/>
    <s v="Normal"/>
    <n v="7"/>
    <n v="0.34"/>
    <n v="19.989999999999998"/>
  </r>
  <r>
    <n v="88"/>
    <s v="CA-2017-155558"/>
    <x v="40"/>
    <d v="2017-11-02T00:00:00"/>
    <x v="1"/>
    <s v="PG-18895"/>
    <s v="Paul Gonzalez"/>
    <x v="0"/>
    <s v="United States"/>
    <s v="Rochester"/>
    <s v="Minnesota"/>
    <n v="55901"/>
    <x v="2"/>
    <s v="OFF-LA-10000134"/>
    <x v="1"/>
    <x v="2"/>
    <x v="85"/>
    <n v="6.16"/>
    <n v="2"/>
    <x v="0"/>
    <x v="51"/>
    <s v="Valid"/>
    <n v="267.07"/>
    <n v="656.2656164"/>
    <s v="Normal"/>
    <n v="7"/>
    <n v="0.48"/>
    <n v="6.16"/>
  </r>
  <r>
    <n v="89"/>
    <s v="CA-2016-159695"/>
    <x v="41"/>
    <d v="2016-04-10T00:00:00"/>
    <x v="0"/>
    <s v="GM-14455"/>
    <s v="Gary Mitchum"/>
    <x v="2"/>
    <s v="United States"/>
    <s v="Houston"/>
    <s v="Texas"/>
    <n v="77095"/>
    <x v="2"/>
    <s v="OFF-ST-10003442"/>
    <x v="1"/>
    <x v="4"/>
    <x v="86"/>
    <n v="158.36799999999999"/>
    <n v="7"/>
    <x v="2"/>
    <x v="87"/>
    <s v="Valid"/>
    <n v="267.07"/>
    <n v="656.2656164"/>
    <s v="Normal"/>
    <n v="5"/>
    <n v="8.7500000000000008E-2"/>
    <n v="126.6944"/>
  </r>
  <r>
    <n v="90"/>
    <s v="CA-2016-109806"/>
    <x v="42"/>
    <d v="2016-09-22T00:00:00"/>
    <x v="1"/>
    <s v="JS-15685"/>
    <s v="Jim Sink"/>
    <x v="1"/>
    <s v="United States"/>
    <s v="Los Angeles"/>
    <s v="California"/>
    <n v="90036"/>
    <x v="1"/>
    <s v="OFF-AR-10004930"/>
    <x v="1"/>
    <x v="6"/>
    <x v="87"/>
    <n v="20.100000000000001"/>
    <n v="3"/>
    <x v="0"/>
    <x v="88"/>
    <s v="Valid"/>
    <n v="267.07"/>
    <n v="656.2656164"/>
    <s v="Normal"/>
    <n v="5"/>
    <n v="0.32999999999999996"/>
    <n v="20.100000000000001"/>
  </r>
  <r>
    <n v="91"/>
    <s v="CA-2016-109806"/>
    <x v="42"/>
    <d v="2016-09-22T00:00:00"/>
    <x v="1"/>
    <s v="JS-15685"/>
    <s v="Jim Sink"/>
    <x v="1"/>
    <s v="United States"/>
    <s v="Los Angeles"/>
    <s v="California"/>
    <n v="90036"/>
    <x v="1"/>
    <s v="TEC-PH-10004093"/>
    <x v="2"/>
    <x v="7"/>
    <x v="40"/>
    <n v="73.584000000000003"/>
    <n v="2"/>
    <x v="2"/>
    <x v="89"/>
    <s v="Valid"/>
    <n v="267.07"/>
    <n v="656.2656164"/>
    <s v="Normal"/>
    <n v="5"/>
    <n v="0.11249999999999999"/>
    <n v="58.867200000000004"/>
  </r>
  <r>
    <n v="92"/>
    <s v="CA-2016-109806"/>
    <x v="42"/>
    <d v="2016-09-22T00:00:00"/>
    <x v="1"/>
    <s v="JS-15685"/>
    <s v="Jim Sink"/>
    <x v="1"/>
    <s v="United States"/>
    <s v="Los Angeles"/>
    <s v="California"/>
    <n v="90036"/>
    <x v="1"/>
    <s v="OFF-PA-10000304"/>
    <x v="1"/>
    <x v="10"/>
    <x v="88"/>
    <n v="6.48"/>
    <n v="1"/>
    <x v="0"/>
    <x v="90"/>
    <s v="Valid"/>
    <n v="267.07"/>
    <n v="656.2656164"/>
    <s v="Normal"/>
    <n v="5"/>
    <n v="0.47999999999999993"/>
    <n v="6.48"/>
  </r>
  <r>
    <n v="93"/>
    <s v="CA-2015-149587"/>
    <x v="43"/>
    <d v="2015-02-05T00:00:00"/>
    <x v="0"/>
    <s v="KB-16315"/>
    <s v="Karl Braun"/>
    <x v="0"/>
    <s v="United States"/>
    <s v="Minneapolis"/>
    <s v="Minnesota"/>
    <n v="55407"/>
    <x v="2"/>
    <s v="OFF-PA-10003177"/>
    <x v="1"/>
    <x v="10"/>
    <x v="89"/>
    <n v="12.96"/>
    <n v="2"/>
    <x v="0"/>
    <x v="91"/>
    <s v="Valid"/>
    <n v="267.07"/>
    <n v="656.2656164"/>
    <s v="Normal"/>
    <n v="5"/>
    <n v="0.47999999999999993"/>
    <n v="12.96"/>
  </r>
  <r>
    <n v="94"/>
    <s v="CA-2015-149587"/>
    <x v="43"/>
    <d v="2015-02-05T00:00:00"/>
    <x v="0"/>
    <s v="KB-16315"/>
    <s v="Karl Braun"/>
    <x v="0"/>
    <s v="United States"/>
    <s v="Minneapolis"/>
    <s v="Minnesota"/>
    <n v="55407"/>
    <x v="2"/>
    <s v="FUR-FU-10003799"/>
    <x v="0"/>
    <x v="5"/>
    <x v="90"/>
    <n v="53.34"/>
    <n v="3"/>
    <x v="0"/>
    <x v="92"/>
    <s v="Valid"/>
    <n v="267.07"/>
    <n v="656.2656164"/>
    <s v="Normal"/>
    <n v="5"/>
    <n v="0.30999999999999994"/>
    <n v="53.34"/>
  </r>
  <r>
    <n v="95"/>
    <s v="CA-2015-149587"/>
    <x v="43"/>
    <d v="2015-02-05T00:00:00"/>
    <x v="0"/>
    <s v="KB-16315"/>
    <s v="Karl Braun"/>
    <x v="0"/>
    <s v="United States"/>
    <s v="Minneapolis"/>
    <s v="Minnesota"/>
    <n v="55407"/>
    <x v="2"/>
    <s v="OFF-BI-10002852"/>
    <x v="1"/>
    <x v="8"/>
    <x v="91"/>
    <n v="32.96"/>
    <n v="2"/>
    <x v="0"/>
    <x v="93"/>
    <s v="Valid"/>
    <n v="267.07"/>
    <n v="656.2656164"/>
    <s v="Normal"/>
    <n v="5"/>
    <n v="0.49000000000000005"/>
    <n v="32.96"/>
  </r>
  <r>
    <n v="96"/>
    <s v="US-2017-109484"/>
    <x v="44"/>
    <d v="2017-11-12T00:00:00"/>
    <x v="1"/>
    <s v="RB-19705"/>
    <s v="Roger Barcio"/>
    <x v="2"/>
    <s v="United States"/>
    <s v="Portland"/>
    <s v="Oregon"/>
    <n v="97206"/>
    <x v="1"/>
    <s v="OFF-BI-10004738"/>
    <x v="1"/>
    <x v="8"/>
    <x v="92"/>
    <n v="5.6820000000000004"/>
    <n v="1"/>
    <x v="6"/>
    <x v="94"/>
    <s v="Valid"/>
    <n v="267.07"/>
    <n v="656.2656164"/>
    <s v="Normal"/>
    <n v="6"/>
    <n v="-0.66666666666666663"/>
    <n v="1.7046000000000003"/>
  </r>
  <r>
    <n v="97"/>
    <s v="CA-2017-161018"/>
    <x v="45"/>
    <d v="2017-11-11T00:00:00"/>
    <x v="0"/>
    <s v="PN-18775"/>
    <s v="Parhena Norris"/>
    <x v="2"/>
    <s v="United States"/>
    <s v="New York City"/>
    <s v="New York"/>
    <n v="10009"/>
    <x v="3"/>
    <s v="FUR-FU-10000629"/>
    <x v="0"/>
    <x v="5"/>
    <x v="93"/>
    <n v="96.53"/>
    <n v="7"/>
    <x v="0"/>
    <x v="95"/>
    <s v="Valid"/>
    <n v="267.07"/>
    <n v="656.2656164"/>
    <s v="Normal"/>
    <n v="2"/>
    <n v="0.42"/>
    <n v="96.53"/>
  </r>
  <r>
    <n v="98"/>
    <s v="CA-2017-157833"/>
    <x v="46"/>
    <d v="2017-06-20T00:00:00"/>
    <x v="2"/>
    <s v="KD-16345"/>
    <s v="Katherine Ducich"/>
    <x v="0"/>
    <s v="United States"/>
    <s v="San Francisco"/>
    <s v="California"/>
    <n v="94122"/>
    <x v="1"/>
    <s v="OFF-BI-10001721"/>
    <x v="1"/>
    <x v="8"/>
    <x v="94"/>
    <n v="51.311999999999998"/>
    <n v="3"/>
    <x v="2"/>
    <x v="96"/>
    <s v="Valid"/>
    <n v="267.07"/>
    <n v="656.2656164"/>
    <s v="Normal"/>
    <n v="3"/>
    <n v="0.35"/>
    <n v="41.049599999999998"/>
  </r>
  <r>
    <n v="99"/>
    <s v="CA-2016-149223"/>
    <x v="47"/>
    <d v="2016-09-11T00:00:00"/>
    <x v="1"/>
    <s v="ER-13855"/>
    <s v="Elpida Rittenbach"/>
    <x v="1"/>
    <s v="United States"/>
    <s v="Saint Paul"/>
    <s v="Minnesota"/>
    <n v="55106"/>
    <x v="2"/>
    <s v="OFF-AP-10000358"/>
    <x v="1"/>
    <x v="9"/>
    <x v="95"/>
    <n v="77.88"/>
    <n v="6"/>
    <x v="0"/>
    <x v="97"/>
    <s v="Valid"/>
    <n v="267.07"/>
    <n v="656.2656164"/>
    <s v="Normal"/>
    <n v="5"/>
    <n v="0.29000000000000004"/>
    <n v="77.88"/>
  </r>
  <r>
    <n v="100"/>
    <s v="CA-2016-158568"/>
    <x v="48"/>
    <d v="2016-09-02T00:00:00"/>
    <x v="1"/>
    <s v="RB-19465"/>
    <s v="Rick Bensley"/>
    <x v="2"/>
    <s v="United States"/>
    <s v="Chicago"/>
    <s v="Illinois"/>
    <n v="60610"/>
    <x v="2"/>
    <s v="OFF-PA-10003256"/>
    <x v="1"/>
    <x v="10"/>
    <x v="96"/>
    <n v="64.623999999999995"/>
    <n v="7"/>
    <x v="2"/>
    <x v="98"/>
    <s v="Valid"/>
    <n v="267.07"/>
    <n v="656.2656164"/>
    <s v="Normal"/>
    <n v="4"/>
    <n v="0.35000000000000003"/>
    <n v="51.699199999999998"/>
  </r>
  <r>
    <n v="101"/>
    <s v="CA-2016-158568"/>
    <x v="48"/>
    <d v="2016-09-02T00:00:00"/>
    <x v="1"/>
    <s v="RB-19465"/>
    <s v="Rick Bensley"/>
    <x v="2"/>
    <s v="United States"/>
    <s v="Chicago"/>
    <s v="Illinois"/>
    <n v="60610"/>
    <x v="2"/>
    <s v="TEC-AC-10001767"/>
    <x v="2"/>
    <x v="11"/>
    <x v="97"/>
    <n v="95.975999999999999"/>
    <n v="3"/>
    <x v="2"/>
    <x v="99"/>
    <s v="Valid"/>
    <n v="267.07"/>
    <n v="656.2656164"/>
    <s v="Normal"/>
    <n v="4"/>
    <n v="-0.1125"/>
    <n v="76.780799999999999"/>
  </r>
  <r>
    <n v="102"/>
    <s v="CA-2016-158568"/>
    <x v="48"/>
    <d v="2016-09-02T00:00:00"/>
    <x v="1"/>
    <s v="RB-19465"/>
    <s v="Rick Bensley"/>
    <x v="2"/>
    <s v="United States"/>
    <s v="Chicago"/>
    <s v="Illinois"/>
    <n v="60610"/>
    <x v="2"/>
    <s v="OFF-BI-10002609"/>
    <x v="1"/>
    <x v="8"/>
    <x v="98"/>
    <n v="1.788"/>
    <n v="3"/>
    <x v="3"/>
    <x v="100"/>
    <s v="Valid"/>
    <n v="267.07"/>
    <n v="656.2656164"/>
    <s v="Normal"/>
    <n v="4"/>
    <n v="-1.7"/>
    <n v="0.35759999999999992"/>
  </r>
  <r>
    <n v="103"/>
    <s v="CA-2016-129903"/>
    <x v="49"/>
    <d v="2016-12-04T00:00:00"/>
    <x v="0"/>
    <s v="GZ-14470"/>
    <s v="Gary Zandusky"/>
    <x v="0"/>
    <s v="United States"/>
    <s v="Rochester"/>
    <s v="Minnesota"/>
    <n v="55901"/>
    <x v="2"/>
    <s v="OFF-PA-10004040"/>
    <x v="1"/>
    <x v="10"/>
    <x v="99"/>
    <n v="23.92"/>
    <n v="4"/>
    <x v="0"/>
    <x v="101"/>
    <s v="Valid"/>
    <n v="267.07"/>
    <n v="656.2656164"/>
    <s v="Normal"/>
    <n v="3"/>
    <n v="0.49"/>
    <n v="23.92"/>
  </r>
  <r>
    <n v="104"/>
    <s v="US-2015-156867"/>
    <x v="50"/>
    <d v="2015-11-17T00:00:00"/>
    <x v="1"/>
    <s v="LC-16870"/>
    <s v="Lena Cacioppo"/>
    <x v="0"/>
    <s v="United States"/>
    <s v="Aurora"/>
    <s v="Colorado"/>
    <n v="80013"/>
    <x v="1"/>
    <s v="TEC-AC-10001552"/>
    <x v="2"/>
    <x v="11"/>
    <x v="100"/>
    <n v="238.89599999999999"/>
    <n v="6"/>
    <x v="2"/>
    <x v="102"/>
    <s v="Valid"/>
    <n v="267.07"/>
    <n v="656.2656164"/>
    <s v="Normal"/>
    <n v="4"/>
    <n v="-0.11250000000000002"/>
    <n v="191.11680000000001"/>
  </r>
  <r>
    <n v="105"/>
    <s v="US-2015-156867"/>
    <x v="50"/>
    <d v="2015-11-17T00:00:00"/>
    <x v="1"/>
    <s v="LC-16870"/>
    <s v="Lena Cacioppo"/>
    <x v="0"/>
    <s v="United States"/>
    <s v="Aurora"/>
    <s v="Colorado"/>
    <n v="80013"/>
    <x v="1"/>
    <s v="FUR-FU-10004006"/>
    <x v="0"/>
    <x v="5"/>
    <x v="101"/>
    <n v="102.36"/>
    <n v="3"/>
    <x v="2"/>
    <x v="103"/>
    <s v="Valid"/>
    <n v="267.07"/>
    <n v="656.2656164"/>
    <s v="Normal"/>
    <n v="4"/>
    <n v="-3.7499999999999999E-2"/>
    <n v="81.888000000000005"/>
  </r>
  <r>
    <n v="106"/>
    <s v="US-2015-156867"/>
    <x v="50"/>
    <d v="2015-11-17T00:00:00"/>
    <x v="1"/>
    <s v="LC-16870"/>
    <s v="Lena Cacioppo"/>
    <x v="0"/>
    <s v="United States"/>
    <s v="Aurora"/>
    <s v="Colorado"/>
    <n v="80013"/>
    <x v="1"/>
    <s v="OFF-BI-10002794"/>
    <x v="1"/>
    <x v="8"/>
    <x v="102"/>
    <n v="36.881999999999998"/>
    <n v="3"/>
    <x v="6"/>
    <x v="104"/>
    <s v="Valid"/>
    <n v="267.07"/>
    <n v="656.2656164"/>
    <s v="Normal"/>
    <n v="4"/>
    <n v="-0.70000000000000007"/>
    <n v="11.0646"/>
  </r>
  <r>
    <n v="107"/>
    <s v="CA-2017-119004"/>
    <x v="51"/>
    <d v="2017-11-28T00:00:00"/>
    <x v="1"/>
    <s v="JM-15250"/>
    <s v="Janet Martin"/>
    <x v="0"/>
    <s v="United States"/>
    <s v="Charlotte"/>
    <s v="North Carolina"/>
    <n v="28205"/>
    <x v="0"/>
    <s v="TEC-AC-10003499"/>
    <x v="2"/>
    <x v="11"/>
    <x v="103"/>
    <n v="74.111999999999995"/>
    <n v="8"/>
    <x v="2"/>
    <x v="105"/>
    <s v="Valid"/>
    <n v="267.07"/>
    <n v="656.2656164"/>
    <s v="Normal"/>
    <n v="5"/>
    <n v="0.23750000000000004"/>
    <n v="59.2896"/>
  </r>
  <r>
    <n v="108"/>
    <s v="CA-2017-119004"/>
    <x v="51"/>
    <d v="2017-11-28T00:00:00"/>
    <x v="1"/>
    <s v="JM-15250"/>
    <s v="Janet Martin"/>
    <x v="0"/>
    <s v="United States"/>
    <s v="Charlotte"/>
    <s v="North Carolina"/>
    <n v="28205"/>
    <x v="0"/>
    <s v="TEC-PH-10002844"/>
    <x v="2"/>
    <x v="7"/>
    <x v="104"/>
    <n v="27.992000000000001"/>
    <n v="1"/>
    <x v="2"/>
    <x v="106"/>
    <s v="Valid"/>
    <n v="267.07"/>
    <n v="656.2656164"/>
    <s v="Normal"/>
    <n v="5"/>
    <n v="7.4999999999999997E-2"/>
    <n v="22.393600000000003"/>
  </r>
  <r>
    <n v="109"/>
    <s v="CA-2017-119004"/>
    <x v="51"/>
    <d v="2017-11-28T00:00:00"/>
    <x v="1"/>
    <s v="JM-15250"/>
    <s v="Janet Martin"/>
    <x v="0"/>
    <s v="United States"/>
    <s v="Charlotte"/>
    <s v="North Carolina"/>
    <n v="28205"/>
    <x v="0"/>
    <s v="OFF-AR-10000390"/>
    <x v="1"/>
    <x v="6"/>
    <x v="105"/>
    <n v="3.3039999999999998"/>
    <n v="1"/>
    <x v="2"/>
    <x v="107"/>
    <s v="Valid"/>
    <n v="267.07"/>
    <n v="656.2656164"/>
    <s v="Normal"/>
    <n v="5"/>
    <n v="0.32500000000000007"/>
    <n v="2.6432000000000002"/>
  </r>
  <r>
    <n v="110"/>
    <s v="CA-2015-129476"/>
    <x v="52"/>
    <d v="2015-10-20T00:00:00"/>
    <x v="1"/>
    <s v="PA-19060"/>
    <s v="Pete Armstrong"/>
    <x v="2"/>
    <s v="United States"/>
    <s v="Orland Park"/>
    <s v="Illinois"/>
    <n v="60462"/>
    <x v="2"/>
    <s v="TEC-AC-10000844"/>
    <x v="2"/>
    <x v="11"/>
    <x v="106"/>
    <n v="339.96"/>
    <n v="5"/>
    <x v="2"/>
    <x v="108"/>
    <s v="Valid"/>
    <n v="267.07"/>
    <n v="656.2656164"/>
    <s v="Normal"/>
    <n v="5"/>
    <n v="0.20000000000000004"/>
    <n v="271.96800000000002"/>
  </r>
  <r>
    <n v="111"/>
    <s v="CA-2017-146780"/>
    <x v="53"/>
    <d v="2017-12-30T00:00:00"/>
    <x v="1"/>
    <s v="CV-12805"/>
    <s v="Cynthia Voltz"/>
    <x v="1"/>
    <s v="United States"/>
    <s v="New York City"/>
    <s v="New York"/>
    <n v="10035"/>
    <x v="3"/>
    <s v="FUR-FU-10001934"/>
    <x v="0"/>
    <x v="5"/>
    <x v="107"/>
    <n v="41.96"/>
    <n v="2"/>
    <x v="0"/>
    <x v="109"/>
    <s v="Valid"/>
    <n v="267.07"/>
    <n v="656.2656164"/>
    <s v="Normal"/>
    <n v="5"/>
    <n v="0.25999999999999995"/>
    <n v="41.96"/>
  </r>
  <r>
    <n v="112"/>
    <s v="CA-2016-128867"/>
    <x v="54"/>
    <d v="2016-11-10T00:00:00"/>
    <x v="1"/>
    <s v="CL-12565"/>
    <s v="Clay Ludtke"/>
    <x v="0"/>
    <s v="United States"/>
    <s v="Urbandale"/>
    <s v="Iowa"/>
    <n v="50322"/>
    <x v="2"/>
    <s v="OFF-AR-10000380"/>
    <x v="1"/>
    <x v="6"/>
    <x v="108"/>
    <n v="75.959999999999994"/>
    <n v="2"/>
    <x v="0"/>
    <x v="110"/>
    <s v="Valid"/>
    <n v="267.07"/>
    <n v="656.2656164"/>
    <s v="Normal"/>
    <n v="7"/>
    <n v="0.30000000000000004"/>
    <n v="75.959999999999994"/>
  </r>
  <r>
    <n v="113"/>
    <s v="CA-2016-128867"/>
    <x v="54"/>
    <d v="2016-11-10T00:00:00"/>
    <x v="1"/>
    <s v="CL-12565"/>
    <s v="Clay Ludtke"/>
    <x v="0"/>
    <s v="United States"/>
    <s v="Urbandale"/>
    <s v="Iowa"/>
    <n v="50322"/>
    <x v="2"/>
    <s v="OFF-BI-10003981"/>
    <x v="1"/>
    <x v="8"/>
    <x v="109"/>
    <n v="27.24"/>
    <n v="6"/>
    <x v="0"/>
    <x v="111"/>
    <s v="Valid"/>
    <n v="267.07"/>
    <n v="656.2656164"/>
    <s v="Normal"/>
    <n v="7"/>
    <n v="0.49000000000000005"/>
    <n v="27.24"/>
  </r>
  <r>
    <n v="114"/>
    <s v="CA-2014-115259"/>
    <x v="55"/>
    <d v="2014-08-27T00:00:00"/>
    <x v="0"/>
    <s v="RC-19960"/>
    <s v="Ryan Crowe"/>
    <x v="0"/>
    <s v="United States"/>
    <s v="Columbus"/>
    <s v="Ohio"/>
    <n v="43229"/>
    <x v="3"/>
    <s v="OFF-FA-10000621"/>
    <x v="1"/>
    <x v="13"/>
    <x v="110"/>
    <n v="40.095999999999997"/>
    <n v="14"/>
    <x v="2"/>
    <x v="112"/>
    <s v="Valid"/>
    <n v="267.07"/>
    <n v="656.2656164"/>
    <s v="Normal"/>
    <n v="2"/>
    <n v="0.36250000000000004"/>
    <n v="32.076799999999999"/>
  </r>
  <r>
    <n v="115"/>
    <s v="CA-2014-115259"/>
    <x v="55"/>
    <d v="2014-08-27T00:00:00"/>
    <x v="0"/>
    <s v="RC-19960"/>
    <s v="Ryan Crowe"/>
    <x v="0"/>
    <s v="United States"/>
    <s v="Columbus"/>
    <s v="Ohio"/>
    <n v="43229"/>
    <x v="3"/>
    <s v="OFF-EN-10002600"/>
    <x v="1"/>
    <x v="12"/>
    <x v="111"/>
    <n v="4.72"/>
    <n v="2"/>
    <x v="2"/>
    <x v="113"/>
    <s v="Valid"/>
    <n v="267.07"/>
    <n v="656.2656164"/>
    <s v="Normal"/>
    <n v="2"/>
    <n v="0.35"/>
    <n v="3.7759999999999998"/>
  </r>
  <r>
    <n v="116"/>
    <s v="CA-2014-115259"/>
    <x v="55"/>
    <d v="2014-08-27T00:00:00"/>
    <x v="0"/>
    <s v="RC-19960"/>
    <s v="Ryan Crowe"/>
    <x v="0"/>
    <s v="United States"/>
    <s v="Columbus"/>
    <s v="Ohio"/>
    <n v="43229"/>
    <x v="3"/>
    <s v="OFF-PA-10004965"/>
    <x v="1"/>
    <x v="10"/>
    <x v="112"/>
    <n v="23.975999999999999"/>
    <n v="3"/>
    <x v="2"/>
    <x v="114"/>
    <s v="Valid"/>
    <n v="267.07"/>
    <n v="656.2656164"/>
    <s v="Normal"/>
    <n v="2"/>
    <n v="0.3125"/>
    <n v="19.180800000000001"/>
  </r>
  <r>
    <n v="117"/>
    <s v="CA-2014-115259"/>
    <x v="55"/>
    <d v="2014-08-27T00:00:00"/>
    <x v="0"/>
    <s v="RC-19960"/>
    <s v="Ryan Crowe"/>
    <x v="0"/>
    <s v="United States"/>
    <s v="Columbus"/>
    <s v="Ohio"/>
    <n v="43229"/>
    <x v="3"/>
    <s v="OFF-EN-10002504"/>
    <x v="1"/>
    <x v="12"/>
    <x v="113"/>
    <n v="130.464"/>
    <n v="6"/>
    <x v="2"/>
    <x v="115"/>
    <s v="Valid"/>
    <n v="267.07"/>
    <n v="656.2656164"/>
    <s v="Normal"/>
    <n v="2"/>
    <n v="0.33749999999999997"/>
    <n v="104.3712"/>
  </r>
  <r>
    <n v="118"/>
    <s v="CA-2015-110457"/>
    <x v="56"/>
    <d v="2015-03-06T00:00:00"/>
    <x v="1"/>
    <s v="DK-13090"/>
    <s v="Dave Kipp"/>
    <x v="0"/>
    <s v="United States"/>
    <s v="Seattle"/>
    <s v="Washington"/>
    <n v="98103"/>
    <x v="1"/>
    <s v="FUR-TA-10001768"/>
    <x v="0"/>
    <x v="3"/>
    <x v="114"/>
    <n v="787.53"/>
    <n v="3"/>
    <x v="0"/>
    <x v="116"/>
    <s v="Valid"/>
    <n v="267.07"/>
    <n v="656.2656164"/>
    <s v="Normal"/>
    <n v="4"/>
    <n v="0.21000000000000002"/>
    <n v="787.53"/>
  </r>
  <r>
    <n v="119"/>
    <s v="US-2015-136476"/>
    <x v="57"/>
    <d v="2015-04-10T00:00:00"/>
    <x v="1"/>
    <s v="GG-14650"/>
    <s v="Greg Guthrie"/>
    <x v="1"/>
    <s v="United States"/>
    <s v="Bristol"/>
    <s v="Tennessee"/>
    <n v="37620"/>
    <x v="0"/>
    <s v="OFF-BI-10003650"/>
    <x v="1"/>
    <x v="8"/>
    <x v="115"/>
    <n v="157.79400000000001"/>
    <n v="1"/>
    <x v="6"/>
    <x v="117"/>
    <s v="Valid"/>
    <n v="267.07"/>
    <n v="656.2656164"/>
    <s v="Normal"/>
    <n v="5"/>
    <n v="-0.73333333333333328"/>
    <n v="47.338200000000008"/>
  </r>
  <r>
    <n v="120"/>
    <s v="CA-2016-103730"/>
    <x v="1"/>
    <d v="2016-06-15T00:00:00"/>
    <x v="2"/>
    <s v="SC-20725"/>
    <s v="Steven Cartwright"/>
    <x v="0"/>
    <s v="United States"/>
    <s v="Wilmington"/>
    <s v="Delaware"/>
    <n v="19805"/>
    <x v="3"/>
    <s v="FUR-FU-10002157"/>
    <x v="0"/>
    <x v="5"/>
    <x v="116"/>
    <n v="47.04"/>
    <n v="3"/>
    <x v="0"/>
    <x v="118"/>
    <s v="Valid"/>
    <n v="267.07"/>
    <n v="656.2656164"/>
    <s v="Normal"/>
    <n v="3"/>
    <n v="0.39"/>
    <n v="47.04"/>
  </r>
  <r>
    <n v="121"/>
    <s v="CA-2016-103730"/>
    <x v="1"/>
    <d v="2016-06-15T00:00:00"/>
    <x v="2"/>
    <s v="SC-20725"/>
    <s v="Steven Cartwright"/>
    <x v="0"/>
    <s v="United States"/>
    <s v="Wilmington"/>
    <s v="Delaware"/>
    <n v="19805"/>
    <x v="3"/>
    <s v="OFF-BI-10003910"/>
    <x v="1"/>
    <x v="8"/>
    <x v="8"/>
    <n v="30.84"/>
    <n v="4"/>
    <x v="0"/>
    <x v="119"/>
    <s v="Valid"/>
    <n v="267.07"/>
    <n v="656.2656164"/>
    <s v="Normal"/>
    <n v="3"/>
    <n v="0.45"/>
    <n v="30.84"/>
  </r>
  <r>
    <n v="122"/>
    <s v="CA-2016-103730"/>
    <x v="1"/>
    <d v="2016-06-15T00:00:00"/>
    <x v="2"/>
    <s v="SC-20725"/>
    <s v="Steven Cartwright"/>
    <x v="0"/>
    <s v="United States"/>
    <s v="Wilmington"/>
    <s v="Delaware"/>
    <n v="19805"/>
    <x v="3"/>
    <s v="OFF-ST-10000777"/>
    <x v="1"/>
    <x v="4"/>
    <x v="117"/>
    <n v="226.56"/>
    <n v="6"/>
    <x v="0"/>
    <x v="120"/>
    <s v="Valid"/>
    <n v="267.07"/>
    <n v="656.2656164"/>
    <s v="Normal"/>
    <n v="3"/>
    <n v="0.27999999999999997"/>
    <n v="226.56"/>
  </r>
  <r>
    <n v="123"/>
    <s v="CA-2016-103730"/>
    <x v="1"/>
    <d v="2016-06-15T00:00:00"/>
    <x v="2"/>
    <s v="SC-20725"/>
    <s v="Steven Cartwright"/>
    <x v="0"/>
    <s v="United States"/>
    <s v="Wilmington"/>
    <s v="Delaware"/>
    <n v="19805"/>
    <x v="3"/>
    <s v="OFF-EN-10002500"/>
    <x v="1"/>
    <x v="12"/>
    <x v="118"/>
    <n v="115.02"/>
    <n v="9"/>
    <x v="0"/>
    <x v="121"/>
    <s v="Valid"/>
    <n v="267.07"/>
    <n v="656.2656164"/>
    <s v="Normal"/>
    <n v="3"/>
    <n v="0.45"/>
    <n v="115.02"/>
  </r>
  <r>
    <n v="124"/>
    <s v="CA-2016-103730"/>
    <x v="1"/>
    <d v="2016-06-15T00:00:00"/>
    <x v="2"/>
    <s v="SC-20725"/>
    <s v="Steven Cartwright"/>
    <x v="0"/>
    <s v="United States"/>
    <s v="Wilmington"/>
    <s v="Delaware"/>
    <n v="19805"/>
    <x v="3"/>
    <s v="TEC-PH-10003875"/>
    <x v="2"/>
    <x v="7"/>
    <x v="119"/>
    <n v="68.040000000000006"/>
    <n v="7"/>
    <x v="0"/>
    <x v="122"/>
    <s v="Valid"/>
    <n v="267.07"/>
    <n v="656.2656164"/>
    <s v="Normal"/>
    <n v="3"/>
    <n v="0.28999999999999998"/>
    <n v="68.040000000000006"/>
  </r>
  <r>
    <n v="125"/>
    <s v="US-2014-152030"/>
    <x v="58"/>
    <d v="2014-12-28T00:00:00"/>
    <x v="0"/>
    <s v="AD-10180"/>
    <s v="Alan Dominguez"/>
    <x v="2"/>
    <s v="United States"/>
    <s v="Houston"/>
    <s v="Texas"/>
    <n v="77041"/>
    <x v="2"/>
    <s v="FUR-CH-10004063"/>
    <x v="0"/>
    <x v="1"/>
    <x v="120"/>
    <n v="600.55799999999999"/>
    <n v="3"/>
    <x v="4"/>
    <x v="123"/>
    <s v="Valid"/>
    <n v="267.07"/>
    <n v="656.2656164"/>
    <s v="Normal"/>
    <n v="2"/>
    <n v="-1.4285714285714285E-2"/>
    <n v="420.39059999999995"/>
  </r>
  <r>
    <n v="126"/>
    <s v="US-2014-134614"/>
    <x v="59"/>
    <d v="2014-09-25T00:00:00"/>
    <x v="1"/>
    <s v="PF-19165"/>
    <s v="Philip Fox"/>
    <x v="0"/>
    <s v="United States"/>
    <s v="Bloomington"/>
    <s v="Illinois"/>
    <n v="61701"/>
    <x v="2"/>
    <s v="FUR-TA-10004534"/>
    <x v="0"/>
    <x v="3"/>
    <x v="121"/>
    <n v="617.70000000000005"/>
    <n v="6"/>
    <x v="5"/>
    <x v="124"/>
    <s v="Valid"/>
    <n v="267.07"/>
    <n v="656.2656164"/>
    <s v="Normal"/>
    <n v="5"/>
    <n v="-0.66"/>
    <n v="308.85000000000002"/>
  </r>
  <r>
    <n v="127"/>
    <s v="US-2017-107272"/>
    <x v="60"/>
    <d v="2017-11-12T00:00:00"/>
    <x v="1"/>
    <s v="TS-21610"/>
    <s v="Troy Staebel"/>
    <x v="0"/>
    <s v="United States"/>
    <s v="Phoenix"/>
    <s v="Arizona"/>
    <n v="85023"/>
    <x v="1"/>
    <s v="OFF-BI-10003274"/>
    <x v="1"/>
    <x v="8"/>
    <x v="122"/>
    <n v="2.3879999999999999"/>
    <n v="2"/>
    <x v="6"/>
    <x v="125"/>
    <s v="Valid"/>
    <n v="267.07"/>
    <n v="656.2656164"/>
    <s v="Normal"/>
    <n v="7"/>
    <n v="-0.76666666666666672"/>
    <n v="0.71640000000000004"/>
  </r>
  <r>
    <n v="128"/>
    <s v="US-2017-107272"/>
    <x v="60"/>
    <d v="2017-11-12T00:00:00"/>
    <x v="1"/>
    <s v="TS-21610"/>
    <s v="Troy Staebel"/>
    <x v="0"/>
    <s v="United States"/>
    <s v="Phoenix"/>
    <s v="Arizona"/>
    <n v="85023"/>
    <x v="1"/>
    <s v="OFF-ST-10002974"/>
    <x v="1"/>
    <x v="4"/>
    <x v="123"/>
    <n v="243.99199999999999"/>
    <n v="7"/>
    <x v="2"/>
    <x v="126"/>
    <s v="Valid"/>
    <n v="267.07"/>
    <n v="656.2656164"/>
    <s v="Normal"/>
    <n v="7"/>
    <n v="0.125"/>
    <n v="195.1936"/>
  </r>
  <r>
    <n v="129"/>
    <s v="US-2016-125969"/>
    <x v="61"/>
    <d v="2016-11-10T00:00:00"/>
    <x v="0"/>
    <s v="LS-16975"/>
    <s v="Lindsay Shagiari"/>
    <x v="2"/>
    <s v="United States"/>
    <s v="Los Angeles"/>
    <s v="California"/>
    <n v="90004"/>
    <x v="1"/>
    <s v="FUR-CH-10001146"/>
    <x v="0"/>
    <x v="1"/>
    <x v="124"/>
    <n v="81.424000000000007"/>
    <n v="2"/>
    <x v="2"/>
    <x v="127"/>
    <s v="Valid"/>
    <n v="267.07"/>
    <n v="656.2656164"/>
    <s v="Normal"/>
    <n v="4"/>
    <n v="-0.11249999999999999"/>
    <n v="65.139200000000002"/>
  </r>
  <r>
    <n v="130"/>
    <s v="US-2016-125969"/>
    <x v="61"/>
    <d v="2016-11-10T00:00:00"/>
    <x v="0"/>
    <s v="LS-16975"/>
    <s v="Lindsay Shagiari"/>
    <x v="2"/>
    <s v="United States"/>
    <s v="Los Angeles"/>
    <s v="California"/>
    <n v="90004"/>
    <x v="1"/>
    <s v="FUR-FU-10003773"/>
    <x v="0"/>
    <x v="5"/>
    <x v="125"/>
    <n v="238.56"/>
    <n v="3"/>
    <x v="0"/>
    <x v="128"/>
    <s v="Valid"/>
    <n v="267.07"/>
    <n v="656.2656164"/>
    <s v="Normal"/>
    <n v="4"/>
    <n v="0.10999999999999999"/>
    <n v="238.56"/>
  </r>
  <r>
    <n v="131"/>
    <s v="US-2017-164147"/>
    <x v="62"/>
    <d v="2017-02-05T00:00:00"/>
    <x v="2"/>
    <s v="DW-13585"/>
    <s v="Dorothy Wardle"/>
    <x v="1"/>
    <s v="United States"/>
    <s v="Columbus"/>
    <s v="Ohio"/>
    <n v="43229"/>
    <x v="3"/>
    <s v="TEC-PH-10002293"/>
    <x v="2"/>
    <x v="7"/>
    <x v="126"/>
    <n v="59.97"/>
    <n v="5"/>
    <x v="10"/>
    <x v="129"/>
    <s v="Valid"/>
    <n v="267.07"/>
    <n v="656.2656164"/>
    <s v="Normal"/>
    <n v="3"/>
    <n v="-0.2"/>
    <n v="35.981999999999999"/>
  </r>
  <r>
    <n v="132"/>
    <s v="US-2017-164147"/>
    <x v="62"/>
    <d v="2017-02-05T00:00:00"/>
    <x v="2"/>
    <s v="DW-13585"/>
    <s v="Dorothy Wardle"/>
    <x v="1"/>
    <s v="United States"/>
    <s v="Columbus"/>
    <s v="Ohio"/>
    <n v="43229"/>
    <x v="3"/>
    <s v="OFF-PA-10002377"/>
    <x v="1"/>
    <x v="10"/>
    <x v="127"/>
    <n v="78.304000000000002"/>
    <n v="2"/>
    <x v="2"/>
    <x v="130"/>
    <s v="Valid"/>
    <n v="267.07"/>
    <n v="656.2656164"/>
    <s v="Normal"/>
    <n v="3"/>
    <n v="0.375"/>
    <n v="62.643200000000007"/>
  </r>
  <r>
    <n v="133"/>
    <s v="US-2017-164147"/>
    <x v="62"/>
    <d v="2017-02-05T00:00:00"/>
    <x v="2"/>
    <s v="DW-13585"/>
    <s v="Dorothy Wardle"/>
    <x v="1"/>
    <s v="United States"/>
    <s v="Columbus"/>
    <s v="Ohio"/>
    <n v="43229"/>
    <x v="3"/>
    <s v="OFF-FA-10002780"/>
    <x v="1"/>
    <x v="13"/>
    <x v="128"/>
    <n v="21.456"/>
    <n v="9"/>
    <x v="2"/>
    <x v="131"/>
    <s v="Valid"/>
    <n v="267.07"/>
    <n v="656.2656164"/>
    <s v="Normal"/>
    <n v="3"/>
    <n v="0.32500000000000001"/>
    <n v="17.1648"/>
  </r>
  <r>
    <n v="134"/>
    <s v="CA-2016-145583"/>
    <x v="63"/>
    <d v="2016-10-19T00:00:00"/>
    <x v="1"/>
    <s v="LC-16885"/>
    <s v="Lena Creighton"/>
    <x v="0"/>
    <s v="United States"/>
    <s v="Roseville"/>
    <s v="California"/>
    <n v="95661"/>
    <x v="1"/>
    <s v="OFF-PA-10001804"/>
    <x v="1"/>
    <x v="10"/>
    <x v="129"/>
    <n v="20.04"/>
    <n v="3"/>
    <x v="0"/>
    <x v="132"/>
    <s v="Valid"/>
    <n v="267.07"/>
    <n v="656.2656164"/>
    <s v="Normal"/>
    <n v="6"/>
    <n v="0.48"/>
    <n v="20.04"/>
  </r>
  <r>
    <n v="135"/>
    <s v="CA-2016-145583"/>
    <x v="63"/>
    <d v="2016-10-19T00:00:00"/>
    <x v="1"/>
    <s v="LC-16885"/>
    <s v="Lena Creighton"/>
    <x v="0"/>
    <s v="United States"/>
    <s v="Roseville"/>
    <s v="California"/>
    <n v="95661"/>
    <x v="1"/>
    <s v="OFF-PA-10001736"/>
    <x v="1"/>
    <x v="10"/>
    <x v="130"/>
    <n v="35.44"/>
    <n v="1"/>
    <x v="0"/>
    <x v="133"/>
    <s v="Valid"/>
    <n v="267.07"/>
    <n v="656.2656164"/>
    <s v="Normal"/>
    <n v="6"/>
    <n v="0.47000000000000003"/>
    <n v="35.44"/>
  </r>
  <r>
    <n v="136"/>
    <s v="CA-2016-145583"/>
    <x v="63"/>
    <d v="2016-10-19T00:00:00"/>
    <x v="1"/>
    <s v="LC-16885"/>
    <s v="Lena Creighton"/>
    <x v="0"/>
    <s v="United States"/>
    <s v="Roseville"/>
    <s v="California"/>
    <n v="95661"/>
    <x v="1"/>
    <s v="OFF-AR-10001149"/>
    <x v="1"/>
    <x v="6"/>
    <x v="131"/>
    <n v="11.52"/>
    <n v="4"/>
    <x v="0"/>
    <x v="134"/>
    <s v="Valid"/>
    <n v="267.07"/>
    <n v="656.2656164"/>
    <s v="Normal"/>
    <n v="6"/>
    <n v="0.3"/>
    <n v="11.52"/>
  </r>
  <r>
    <n v="137"/>
    <s v="CA-2016-145583"/>
    <x v="63"/>
    <d v="2016-10-19T00:00:00"/>
    <x v="1"/>
    <s v="LC-16885"/>
    <s v="Lena Creighton"/>
    <x v="0"/>
    <s v="United States"/>
    <s v="Roseville"/>
    <s v="California"/>
    <n v="95661"/>
    <x v="1"/>
    <s v="OFF-FA-10002988"/>
    <x v="1"/>
    <x v="13"/>
    <x v="132"/>
    <n v="4.0199999999999996"/>
    <n v="2"/>
    <x v="0"/>
    <x v="135"/>
    <s v="Valid"/>
    <n v="267.07"/>
    <n v="656.2656164"/>
    <s v="Normal"/>
    <n v="6"/>
    <n v="0.49000000000000005"/>
    <n v="4.0199999999999996"/>
  </r>
  <r>
    <n v="138"/>
    <s v="CA-2016-145583"/>
    <x v="63"/>
    <d v="2016-10-19T00:00:00"/>
    <x v="1"/>
    <s v="LC-16885"/>
    <s v="Lena Creighton"/>
    <x v="0"/>
    <s v="United States"/>
    <s v="Roseville"/>
    <s v="California"/>
    <n v="95661"/>
    <x v="1"/>
    <s v="OFF-BI-10004781"/>
    <x v="1"/>
    <x v="8"/>
    <x v="133"/>
    <n v="76.176000000000002"/>
    <n v="3"/>
    <x v="2"/>
    <x v="136"/>
    <s v="Valid"/>
    <n v="267.07"/>
    <n v="656.2656164"/>
    <s v="Normal"/>
    <n v="6"/>
    <n v="0.35"/>
    <n v="60.940800000000003"/>
  </r>
  <r>
    <n v="139"/>
    <s v="CA-2016-145583"/>
    <x v="63"/>
    <d v="2016-10-19T00:00:00"/>
    <x v="1"/>
    <s v="LC-16885"/>
    <s v="Lena Creighton"/>
    <x v="0"/>
    <s v="United States"/>
    <s v="Roseville"/>
    <s v="California"/>
    <n v="95661"/>
    <x v="1"/>
    <s v="OFF-SU-10001218"/>
    <x v="1"/>
    <x v="14"/>
    <x v="134"/>
    <n v="65.88"/>
    <n v="6"/>
    <x v="0"/>
    <x v="137"/>
    <s v="Valid"/>
    <n v="267.07"/>
    <n v="656.2656164"/>
    <s v="Normal"/>
    <n v="6"/>
    <n v="0.28000000000000003"/>
    <n v="65.88"/>
  </r>
  <r>
    <n v="140"/>
    <s v="CA-2016-145583"/>
    <x v="63"/>
    <d v="2016-10-19T00:00:00"/>
    <x v="1"/>
    <s v="LC-16885"/>
    <s v="Lena Creighton"/>
    <x v="0"/>
    <s v="United States"/>
    <s v="Roseville"/>
    <s v="California"/>
    <n v="95661"/>
    <x v="1"/>
    <s v="FUR-FU-10001706"/>
    <x v="0"/>
    <x v="5"/>
    <x v="50"/>
    <n v="43.12"/>
    <n v="14"/>
    <x v="0"/>
    <x v="138"/>
    <s v="Valid"/>
    <n v="267.07"/>
    <n v="656.2656164"/>
    <s v="Normal"/>
    <n v="6"/>
    <n v="0.48000000000000004"/>
    <n v="43.12"/>
  </r>
  <r>
    <n v="141"/>
    <s v="CA-2016-110366"/>
    <x v="64"/>
    <d v="2016-09-07T00:00:00"/>
    <x v="0"/>
    <s v="JD-15895"/>
    <s v="Jonathan Doherty"/>
    <x v="1"/>
    <s v="United States"/>
    <s v="Philadelphia"/>
    <s v="Pennsylvania"/>
    <n v="19140"/>
    <x v="3"/>
    <s v="FUR-FU-10004848"/>
    <x v="0"/>
    <x v="5"/>
    <x v="28"/>
    <n v="82.8"/>
    <n v="2"/>
    <x v="2"/>
    <x v="139"/>
    <s v="Valid"/>
    <n v="267.07"/>
    <n v="656.2656164"/>
    <s v="Normal"/>
    <n v="2"/>
    <n v="0.125"/>
    <n v="66.239999999999995"/>
  </r>
  <r>
    <n v="142"/>
    <s v="CA-2017-106180"/>
    <x v="65"/>
    <d v="2017-09-23T00:00:00"/>
    <x v="1"/>
    <s v="SH-19975"/>
    <s v="Sally Hughsby"/>
    <x v="1"/>
    <s v="United States"/>
    <s v="San Francisco"/>
    <s v="California"/>
    <n v="94122"/>
    <x v="1"/>
    <s v="OFF-AR-10000940"/>
    <x v="1"/>
    <x v="6"/>
    <x v="135"/>
    <n v="8.82"/>
    <n v="3"/>
    <x v="0"/>
    <x v="140"/>
    <s v="Valid"/>
    <n v="267.07"/>
    <n v="656.2656164"/>
    <s v="Normal"/>
    <n v="5"/>
    <n v="0.27"/>
    <n v="8.82"/>
  </r>
  <r>
    <n v="143"/>
    <s v="CA-2017-106180"/>
    <x v="65"/>
    <d v="2017-09-23T00:00:00"/>
    <x v="1"/>
    <s v="SH-19975"/>
    <s v="Sally Hughsby"/>
    <x v="1"/>
    <s v="United States"/>
    <s v="San Francisco"/>
    <s v="California"/>
    <n v="94122"/>
    <x v="1"/>
    <s v="OFF-EN-10004030"/>
    <x v="1"/>
    <x v="12"/>
    <x v="136"/>
    <n v="10.86"/>
    <n v="3"/>
    <x v="0"/>
    <x v="141"/>
    <s v="Valid"/>
    <n v="267.07"/>
    <n v="656.2656164"/>
    <s v="Normal"/>
    <n v="5"/>
    <n v="0.47"/>
    <n v="10.86"/>
  </r>
  <r>
    <n v="144"/>
    <s v="CA-2017-106180"/>
    <x v="65"/>
    <d v="2017-09-23T00:00:00"/>
    <x v="1"/>
    <s v="SH-19975"/>
    <s v="Sally Hughsby"/>
    <x v="1"/>
    <s v="United States"/>
    <s v="San Francisco"/>
    <s v="California"/>
    <n v="94122"/>
    <x v="1"/>
    <s v="OFF-PA-10004327"/>
    <x v="1"/>
    <x v="10"/>
    <x v="137"/>
    <n v="143.69999999999999"/>
    <n v="3"/>
    <x v="0"/>
    <x v="142"/>
    <s v="Valid"/>
    <n v="267.07"/>
    <n v="656.2656164"/>
    <s v="Normal"/>
    <n v="5"/>
    <n v="0.48000000000000004"/>
    <n v="143.69999999999999"/>
  </r>
  <r>
    <n v="145"/>
    <s v="CA-2017-155376"/>
    <x v="66"/>
    <d v="2017-12-27T00:00:00"/>
    <x v="1"/>
    <s v="SG-20080"/>
    <s v="Sandra Glassco"/>
    <x v="0"/>
    <s v="United States"/>
    <s v="Independence"/>
    <s v="Missouri"/>
    <n v="64055"/>
    <x v="2"/>
    <s v="OFF-AP-10001058"/>
    <x v="1"/>
    <x v="9"/>
    <x v="138"/>
    <n v="839.43"/>
    <n v="3"/>
    <x v="0"/>
    <x v="143"/>
    <s v="Valid"/>
    <n v="267.07"/>
    <n v="656.2656164"/>
    <s v="Normal"/>
    <n v="5"/>
    <n v="0.26"/>
    <n v="839.43"/>
  </r>
  <r>
    <n v="146"/>
    <s v="CA-2015-110744"/>
    <x v="67"/>
    <d v="2015-09-12T00:00:00"/>
    <x v="1"/>
    <s v="HA-14920"/>
    <s v="Helen Andreada"/>
    <x v="0"/>
    <s v="United States"/>
    <s v="Pasadena"/>
    <s v="California"/>
    <n v="91104"/>
    <x v="1"/>
    <s v="OFF-ST-10003656"/>
    <x v="1"/>
    <x v="4"/>
    <x v="82"/>
    <n v="671.93"/>
    <n v="7"/>
    <x v="0"/>
    <x v="144"/>
    <s v="Valid"/>
    <n v="267.07"/>
    <n v="656.2656164"/>
    <s v="Normal"/>
    <n v="5"/>
    <n v="3.0000000000000006E-2"/>
    <n v="671.93"/>
  </r>
  <r>
    <n v="147"/>
    <s v="CA-2014-110072"/>
    <x v="68"/>
    <d v="2014-10-28T00:00:00"/>
    <x v="1"/>
    <s v="MG-17680"/>
    <s v="Maureen Gastineau"/>
    <x v="2"/>
    <s v="United States"/>
    <s v="Newark"/>
    <s v="Ohio"/>
    <n v="43055"/>
    <x v="3"/>
    <s v="FUR-FU-10000521"/>
    <x v="0"/>
    <x v="5"/>
    <x v="139"/>
    <n v="93.888000000000005"/>
    <n v="4"/>
    <x v="2"/>
    <x v="145"/>
    <s v="Valid"/>
    <n v="267.07"/>
    <n v="656.2656164"/>
    <s v="Normal"/>
    <n v="6"/>
    <n v="0.13749999999999998"/>
    <n v="75.110400000000013"/>
  </r>
  <r>
    <n v="148"/>
    <s v="CA-2016-114489"/>
    <x v="5"/>
    <d v="2016-12-09T00:00:00"/>
    <x v="1"/>
    <s v="JE-16165"/>
    <s v="Justin Ellison"/>
    <x v="1"/>
    <s v="United States"/>
    <s v="Franklin"/>
    <s v="Wisconsin"/>
    <n v="53132"/>
    <x v="2"/>
    <s v="TEC-PH-10000215"/>
    <x v="2"/>
    <x v="7"/>
    <x v="140"/>
    <n v="384.45"/>
    <n v="11"/>
    <x v="0"/>
    <x v="146"/>
    <s v="Valid"/>
    <n v="267.07"/>
    <n v="656.2656164"/>
    <s v="Normal"/>
    <n v="4"/>
    <n v="0.27"/>
    <n v="384.45"/>
  </r>
  <r>
    <n v="149"/>
    <s v="CA-2016-114489"/>
    <x v="5"/>
    <d v="2016-12-09T00:00:00"/>
    <x v="1"/>
    <s v="JE-16165"/>
    <s v="Justin Ellison"/>
    <x v="1"/>
    <s v="United States"/>
    <s v="Franklin"/>
    <s v="Wisconsin"/>
    <n v="53132"/>
    <x v="2"/>
    <s v="TEC-PH-10001448"/>
    <x v="2"/>
    <x v="7"/>
    <x v="141"/>
    <n v="149.97"/>
    <n v="3"/>
    <x v="0"/>
    <x v="147"/>
    <s v="Valid"/>
    <n v="267.07"/>
    <n v="656.2656164"/>
    <s v="Normal"/>
    <n v="4"/>
    <n v="0.04"/>
    <n v="149.97"/>
  </r>
  <r>
    <n v="150"/>
    <s v="CA-2016-114489"/>
    <x v="5"/>
    <d v="2016-12-09T00:00:00"/>
    <x v="1"/>
    <s v="JE-16165"/>
    <s v="Justin Ellison"/>
    <x v="1"/>
    <s v="United States"/>
    <s v="Franklin"/>
    <s v="Wisconsin"/>
    <n v="53132"/>
    <x v="2"/>
    <s v="FUR-CH-10000454"/>
    <x v="0"/>
    <x v="1"/>
    <x v="1"/>
    <n v="1951.84"/>
    <n v="8"/>
    <x v="0"/>
    <x v="148"/>
    <s v="Valid"/>
    <n v="267.07"/>
    <n v="656.2656164"/>
    <s v="Normal"/>
    <n v="4"/>
    <n v="0.30000000000000004"/>
    <n v="1951.84"/>
  </r>
  <r>
    <n v="151"/>
    <s v="CA-2016-114489"/>
    <x v="5"/>
    <d v="2016-12-09T00:00:00"/>
    <x v="1"/>
    <s v="JE-16165"/>
    <s v="Justin Ellison"/>
    <x v="1"/>
    <s v="United States"/>
    <s v="Franklin"/>
    <s v="Wisconsin"/>
    <n v="53132"/>
    <x v="2"/>
    <s v="OFF-BI-10002735"/>
    <x v="1"/>
    <x v="8"/>
    <x v="142"/>
    <n v="171.55"/>
    <n v="5"/>
    <x v="0"/>
    <x v="149"/>
    <s v="Valid"/>
    <n v="267.07"/>
    <n v="656.2656164"/>
    <s v="Normal"/>
    <n v="4"/>
    <n v="0.47"/>
    <n v="171.55"/>
  </r>
  <r>
    <n v="152"/>
    <s v="CA-2016-158834"/>
    <x v="69"/>
    <d v="2016-03-16T00:00:00"/>
    <x v="2"/>
    <s v="TW-21025"/>
    <s v="Tamara Willingham"/>
    <x v="2"/>
    <s v="United States"/>
    <s v="Scottsdale"/>
    <s v="Arizona"/>
    <n v="85254"/>
    <x v="1"/>
    <s v="OFF-AP-10000326"/>
    <x v="1"/>
    <x v="9"/>
    <x v="143"/>
    <n v="157.91999999999999"/>
    <n v="5"/>
    <x v="2"/>
    <x v="150"/>
    <s v="Valid"/>
    <n v="267.07"/>
    <n v="656.2656164"/>
    <s v="Normal"/>
    <n v="3"/>
    <n v="0.1125"/>
    <n v="126.336"/>
  </r>
  <r>
    <n v="153"/>
    <s v="CA-2016-158834"/>
    <x v="69"/>
    <d v="2016-03-16T00:00:00"/>
    <x v="2"/>
    <s v="TW-21025"/>
    <s v="Tamara Willingham"/>
    <x v="2"/>
    <s v="United States"/>
    <s v="Scottsdale"/>
    <s v="Arizona"/>
    <n v="85254"/>
    <x v="1"/>
    <s v="TEC-PH-10001254"/>
    <x v="2"/>
    <x v="7"/>
    <x v="144"/>
    <n v="203.184"/>
    <n v="2"/>
    <x v="2"/>
    <x v="151"/>
    <s v="Valid"/>
    <n v="267.07"/>
    <n v="656.2656164"/>
    <s v="Normal"/>
    <n v="3"/>
    <n v="7.4999999999999997E-2"/>
    <n v="162.5472"/>
  </r>
  <r>
    <n v="154"/>
    <s v="CA-2015-124919"/>
    <x v="70"/>
    <d v="2015-06-02T00:00:00"/>
    <x v="2"/>
    <s v="SP-20650"/>
    <s v="Stephanie Phelps"/>
    <x v="1"/>
    <s v="United States"/>
    <s v="San Jose"/>
    <s v="California"/>
    <n v="95123"/>
    <x v="1"/>
    <s v="OFF-PA-10001950"/>
    <x v="1"/>
    <x v="10"/>
    <x v="145"/>
    <n v="58.38"/>
    <n v="7"/>
    <x v="0"/>
    <x v="152"/>
    <s v="Valid"/>
    <n v="267.07"/>
    <n v="656.2656164"/>
    <s v="Normal"/>
    <n v="2"/>
    <n v="0.45"/>
    <n v="58.38"/>
  </r>
  <r>
    <n v="155"/>
    <s v="CA-2015-124919"/>
    <x v="70"/>
    <d v="2015-06-02T00:00:00"/>
    <x v="2"/>
    <s v="SP-20650"/>
    <s v="Stephanie Phelps"/>
    <x v="1"/>
    <s v="United States"/>
    <s v="San Jose"/>
    <s v="California"/>
    <n v="95123"/>
    <x v="1"/>
    <s v="OFF-PA-10002254"/>
    <x v="1"/>
    <x v="10"/>
    <x v="146"/>
    <n v="105.52"/>
    <n v="4"/>
    <x v="0"/>
    <x v="153"/>
    <s v="Valid"/>
    <n v="267.07"/>
    <n v="656.2656164"/>
    <s v="Normal"/>
    <n v="2"/>
    <n v="0.46"/>
    <n v="105.52"/>
  </r>
  <r>
    <n v="156"/>
    <s v="CA-2015-124919"/>
    <x v="70"/>
    <d v="2015-06-02T00:00:00"/>
    <x v="2"/>
    <s v="SP-20650"/>
    <s v="Stephanie Phelps"/>
    <x v="1"/>
    <s v="United States"/>
    <s v="San Jose"/>
    <s v="California"/>
    <n v="95123"/>
    <x v="1"/>
    <s v="OFF-ST-10001590"/>
    <x v="1"/>
    <x v="4"/>
    <x v="147"/>
    <n v="80.88"/>
    <n v="6"/>
    <x v="0"/>
    <x v="154"/>
    <s v="Valid"/>
    <n v="267.07"/>
    <n v="656.2656164"/>
    <s v="Normal"/>
    <n v="2"/>
    <n v="0.26"/>
    <n v="80.88"/>
  </r>
  <r>
    <n v="157"/>
    <s v="CA-2015-118948"/>
    <x v="71"/>
    <d v="2015-06-03T00:00:00"/>
    <x v="1"/>
    <s v="NK-18490"/>
    <s v="Neil Knudson"/>
    <x v="2"/>
    <s v="United States"/>
    <s v="Seattle"/>
    <s v="Washington"/>
    <n v="98105"/>
    <x v="1"/>
    <s v="OFF-AR-10001547"/>
    <x v="1"/>
    <x v="6"/>
    <x v="148"/>
    <n v="6.63"/>
    <n v="3"/>
    <x v="0"/>
    <x v="155"/>
    <s v="Valid"/>
    <n v="267.07"/>
    <n v="656.2656164"/>
    <s v="Normal"/>
    <n v="6"/>
    <n v="0.27"/>
    <n v="6.63"/>
  </r>
  <r>
    <n v="158"/>
    <s v="CA-2014-104269"/>
    <x v="72"/>
    <d v="2014-03-06T00:00:00"/>
    <x v="0"/>
    <s v="DB-13060"/>
    <s v="Dave Brooks"/>
    <x v="0"/>
    <s v="United States"/>
    <s v="Seattle"/>
    <s v="Washington"/>
    <n v="98115"/>
    <x v="1"/>
    <s v="FUR-CH-10004063"/>
    <x v="0"/>
    <x v="1"/>
    <x v="120"/>
    <n v="457.56799999999998"/>
    <n v="2"/>
    <x v="2"/>
    <x v="156"/>
    <s v="Valid"/>
    <n v="267.07"/>
    <n v="656.2656164"/>
    <s v="Normal"/>
    <n v="5"/>
    <n v="0.1125"/>
    <n v="366.05439999999999"/>
  </r>
  <r>
    <n v="159"/>
    <s v="CA-2016-114104"/>
    <x v="73"/>
    <d v="2016-11-24T00:00:00"/>
    <x v="1"/>
    <s v="NP-18670"/>
    <s v="Nora Paige"/>
    <x v="0"/>
    <s v="United States"/>
    <s v="Edmond"/>
    <s v="Oklahoma"/>
    <n v="73034"/>
    <x v="2"/>
    <s v="OFF-LA-10002475"/>
    <x v="1"/>
    <x v="2"/>
    <x v="149"/>
    <n v="14.62"/>
    <n v="2"/>
    <x v="0"/>
    <x v="2"/>
    <s v="Valid"/>
    <n v="267.07"/>
    <n v="656.2656164"/>
    <s v="Normal"/>
    <n v="4"/>
    <n v="0.47000000000000003"/>
    <n v="14.62"/>
  </r>
  <r>
    <n v="160"/>
    <s v="CA-2016-114104"/>
    <x v="73"/>
    <d v="2016-11-24T00:00:00"/>
    <x v="1"/>
    <s v="NP-18670"/>
    <s v="Nora Paige"/>
    <x v="0"/>
    <s v="United States"/>
    <s v="Edmond"/>
    <s v="Oklahoma"/>
    <n v="73034"/>
    <x v="2"/>
    <s v="TEC-PH-10004536"/>
    <x v="2"/>
    <x v="7"/>
    <x v="150"/>
    <n v="944.93"/>
    <n v="7"/>
    <x v="0"/>
    <x v="157"/>
    <s v="Valid"/>
    <n v="267.07"/>
    <n v="656.2656164"/>
    <s v="Normal"/>
    <n v="4"/>
    <n v="0.25"/>
    <n v="944.93"/>
  </r>
  <r>
    <n v="161"/>
    <s v="CA-2016-162733"/>
    <x v="74"/>
    <d v="2016-05-12T00:00:00"/>
    <x v="2"/>
    <s v="TT-21070"/>
    <s v="Ted Trevino"/>
    <x v="0"/>
    <s v="United States"/>
    <s v="Los Angeles"/>
    <s v="California"/>
    <n v="90045"/>
    <x v="1"/>
    <s v="OFF-PA-10002751"/>
    <x v="1"/>
    <x v="10"/>
    <x v="151"/>
    <n v="5.98"/>
    <n v="1"/>
    <x v="0"/>
    <x v="158"/>
    <s v="Valid"/>
    <n v="267.07"/>
    <n v="656.2656164"/>
    <s v="Normal"/>
    <n v="1"/>
    <n v="0.44999999999999996"/>
    <n v="5.98"/>
  </r>
  <r>
    <n v="162"/>
    <s v="CA-2015-119697"/>
    <x v="75"/>
    <d v="2015-12-31T00:00:00"/>
    <x v="0"/>
    <s v="EM-13960"/>
    <s v="Eric Murdock"/>
    <x v="0"/>
    <s v="United States"/>
    <s v="Philadelphia"/>
    <s v="Pennsylvania"/>
    <n v="19134"/>
    <x v="3"/>
    <s v="TEC-AC-10003657"/>
    <x v="2"/>
    <x v="11"/>
    <x v="152"/>
    <n v="54.384"/>
    <n v="2"/>
    <x v="2"/>
    <x v="159"/>
    <s v="Valid"/>
    <n v="267.07"/>
    <n v="656.2656164"/>
    <s v="Normal"/>
    <n v="3"/>
    <n v="2.4999999999999998E-2"/>
    <n v="43.507200000000005"/>
  </r>
  <r>
    <n v="163"/>
    <s v="CA-2016-154508"/>
    <x v="76"/>
    <d v="2016-11-20T00:00:00"/>
    <x v="1"/>
    <s v="RD-19900"/>
    <s v="Ruben Dartt"/>
    <x v="0"/>
    <s v="United States"/>
    <s v="Carlsbad"/>
    <s v="New Mexico"/>
    <n v="88220"/>
    <x v="1"/>
    <s v="OFF-EN-10001990"/>
    <x v="1"/>
    <x v="12"/>
    <x v="153"/>
    <n v="28.4"/>
    <n v="5"/>
    <x v="0"/>
    <x v="160"/>
    <s v="Valid"/>
    <n v="267.07"/>
    <n v="656.2656164"/>
    <s v="Normal"/>
    <n v="4"/>
    <n v="0.47000000000000003"/>
    <n v="28.4"/>
  </r>
  <r>
    <n v="164"/>
    <s v="CA-2016-113817"/>
    <x v="77"/>
    <d v="2016-11-11T00:00:00"/>
    <x v="1"/>
    <s v="MJ-17740"/>
    <s v="Max Jones"/>
    <x v="0"/>
    <s v="United States"/>
    <s v="Seattle"/>
    <s v="Washington"/>
    <n v="98115"/>
    <x v="1"/>
    <s v="OFF-BI-10004002"/>
    <x v="1"/>
    <x v="8"/>
    <x v="154"/>
    <n v="27.68"/>
    <n v="2"/>
    <x v="2"/>
    <x v="161"/>
    <s v="Valid"/>
    <n v="267.07"/>
    <n v="656.2656164"/>
    <s v="Normal"/>
    <n v="4"/>
    <n v="0.35000000000000003"/>
    <n v="22.144000000000002"/>
  </r>
  <r>
    <n v="165"/>
    <s v="CA-2014-139892"/>
    <x v="78"/>
    <d v="2014-09-12T00:00:00"/>
    <x v="1"/>
    <s v="BM-11140"/>
    <s v="Becky Martin"/>
    <x v="0"/>
    <s v="United States"/>
    <s v="San Antonio"/>
    <s v="Texas"/>
    <n v="78207"/>
    <x v="2"/>
    <s v="OFF-AR-10004441"/>
    <x v="1"/>
    <x v="6"/>
    <x v="155"/>
    <n v="9.9359999999999999"/>
    <n v="3"/>
    <x v="2"/>
    <x v="162"/>
    <s v="Valid"/>
    <n v="267.07"/>
    <n v="656.2656164"/>
    <s v="Normal"/>
    <n v="4"/>
    <n v="0.27500000000000002"/>
    <n v="7.9488000000000003"/>
  </r>
  <r>
    <n v="166"/>
    <s v="CA-2014-139892"/>
    <x v="78"/>
    <d v="2014-09-12T00:00:00"/>
    <x v="1"/>
    <s v="BM-11140"/>
    <s v="Becky Martin"/>
    <x v="0"/>
    <s v="United States"/>
    <s v="San Antonio"/>
    <s v="Texas"/>
    <n v="78207"/>
    <x v="2"/>
    <s v="TEC-MA-10000822"/>
    <x v="2"/>
    <x v="15"/>
    <x v="156"/>
    <n v="8159.9520000000002"/>
    <n v="8"/>
    <x v="10"/>
    <x v="163"/>
    <s v="Valid"/>
    <n v="267.07"/>
    <n v="656.2656164"/>
    <s v="High Outlier"/>
    <n v="4"/>
    <n v="-0.16666666666666666"/>
    <n v="4895.9712"/>
  </r>
  <r>
    <n v="167"/>
    <s v="CA-2014-139892"/>
    <x v="78"/>
    <d v="2014-09-12T00:00:00"/>
    <x v="1"/>
    <s v="BM-11140"/>
    <s v="Becky Martin"/>
    <x v="0"/>
    <s v="United States"/>
    <s v="San Antonio"/>
    <s v="Texas"/>
    <n v="78207"/>
    <x v="2"/>
    <s v="OFF-ST-10000991"/>
    <x v="1"/>
    <x v="4"/>
    <x v="157"/>
    <n v="275.928"/>
    <n v="3"/>
    <x v="2"/>
    <x v="164"/>
    <s v="Valid"/>
    <n v="267.07"/>
    <n v="656.2656164"/>
    <s v="Normal"/>
    <n v="4"/>
    <n v="-0.21250000000000002"/>
    <n v="220.7424"/>
  </r>
  <r>
    <n v="168"/>
    <s v="CA-2014-139892"/>
    <x v="78"/>
    <d v="2014-09-12T00:00:00"/>
    <x v="1"/>
    <s v="BM-11140"/>
    <s v="Becky Martin"/>
    <x v="0"/>
    <s v="United States"/>
    <s v="San Antonio"/>
    <s v="Texas"/>
    <n v="78207"/>
    <x v="2"/>
    <s v="FUR-CH-10004287"/>
    <x v="0"/>
    <x v="1"/>
    <x v="158"/>
    <n v="1740.06"/>
    <n v="9"/>
    <x v="4"/>
    <x v="165"/>
    <s v="Valid"/>
    <n v="267.07"/>
    <n v="656.2656164"/>
    <s v="Normal"/>
    <n v="4"/>
    <n v="-1.4285714285714287E-2"/>
    <n v="1218.0419999999999"/>
  </r>
  <r>
    <n v="169"/>
    <s v="CA-2014-139892"/>
    <x v="78"/>
    <d v="2014-09-12T00:00:00"/>
    <x v="1"/>
    <s v="BM-11140"/>
    <s v="Becky Martin"/>
    <x v="0"/>
    <s v="United States"/>
    <s v="San Antonio"/>
    <s v="Texas"/>
    <n v="78207"/>
    <x v="2"/>
    <s v="OFF-AR-10002656"/>
    <x v="1"/>
    <x v="6"/>
    <x v="159"/>
    <n v="32.064"/>
    <n v="6"/>
    <x v="2"/>
    <x v="166"/>
    <s v="Valid"/>
    <n v="267.07"/>
    <n v="656.2656164"/>
    <s v="Normal"/>
    <n v="4"/>
    <n v="0.21249999999999999"/>
    <n v="25.651200000000003"/>
  </r>
  <r>
    <n v="170"/>
    <s v="CA-2014-139892"/>
    <x v="78"/>
    <d v="2014-09-12T00:00:00"/>
    <x v="1"/>
    <s v="BM-11140"/>
    <s v="Becky Martin"/>
    <x v="0"/>
    <s v="United States"/>
    <s v="San Antonio"/>
    <s v="Texas"/>
    <n v="78207"/>
    <x v="2"/>
    <s v="OFF-AP-10002518"/>
    <x v="1"/>
    <x v="9"/>
    <x v="160"/>
    <n v="177.98"/>
    <n v="5"/>
    <x v="3"/>
    <x v="167"/>
    <s v="Valid"/>
    <n v="267.07"/>
    <n v="656.2656164"/>
    <s v="Normal"/>
    <n v="4"/>
    <n v="-2.5500000000000003"/>
    <n v="35.595999999999989"/>
  </r>
  <r>
    <n v="171"/>
    <s v="CA-2014-139892"/>
    <x v="78"/>
    <d v="2014-09-12T00:00:00"/>
    <x v="1"/>
    <s v="BM-11140"/>
    <s v="Becky Martin"/>
    <x v="0"/>
    <s v="United States"/>
    <s v="San Antonio"/>
    <s v="Texas"/>
    <n v="78207"/>
    <x v="2"/>
    <s v="TEC-PH-10003931"/>
    <x v="2"/>
    <x v="7"/>
    <x v="161"/>
    <n v="143.976"/>
    <n v="3"/>
    <x v="2"/>
    <x v="168"/>
    <s v="Valid"/>
    <n v="267.07"/>
    <n v="656.2656164"/>
    <s v="Normal"/>
    <n v="4"/>
    <n v="6.25E-2"/>
    <n v="115.1808"/>
  </r>
  <r>
    <n v="172"/>
    <s v="CA-2014-118962"/>
    <x v="79"/>
    <d v="2014-08-09T00:00:00"/>
    <x v="1"/>
    <s v="CS-12130"/>
    <s v="Chad Sievert"/>
    <x v="0"/>
    <s v="United States"/>
    <s v="Los Angeles"/>
    <s v="California"/>
    <n v="90004"/>
    <x v="1"/>
    <s v="OFF-PA-10000659"/>
    <x v="1"/>
    <x v="10"/>
    <x v="162"/>
    <n v="20.94"/>
    <n v="3"/>
    <x v="0"/>
    <x v="169"/>
    <s v="Valid"/>
    <n v="267.07"/>
    <n v="656.2656164"/>
    <s v="Normal"/>
    <n v="4"/>
    <n v="0.46999999999999992"/>
    <n v="20.94"/>
  </r>
  <r>
    <n v="173"/>
    <s v="CA-2014-118962"/>
    <x v="79"/>
    <d v="2014-08-09T00:00:00"/>
    <x v="1"/>
    <s v="CS-12130"/>
    <s v="Chad Sievert"/>
    <x v="0"/>
    <s v="United States"/>
    <s v="Los Angeles"/>
    <s v="California"/>
    <n v="90004"/>
    <x v="1"/>
    <s v="OFF-PA-10001144"/>
    <x v="1"/>
    <x v="10"/>
    <x v="163"/>
    <n v="110.96"/>
    <n v="2"/>
    <x v="0"/>
    <x v="170"/>
    <s v="Valid"/>
    <n v="267.07"/>
    <n v="656.2656164"/>
    <s v="Normal"/>
    <n v="4"/>
    <n v="0.48000000000000004"/>
    <n v="110.96"/>
  </r>
  <r>
    <n v="174"/>
    <s v="CA-2014-118962"/>
    <x v="79"/>
    <d v="2014-08-09T00:00:00"/>
    <x v="1"/>
    <s v="CS-12130"/>
    <s v="Chad Sievert"/>
    <x v="0"/>
    <s v="United States"/>
    <s v="Los Angeles"/>
    <s v="California"/>
    <n v="90004"/>
    <x v="1"/>
    <s v="FUR-CH-10003817"/>
    <x v="0"/>
    <x v="1"/>
    <x v="164"/>
    <n v="340.14400000000001"/>
    <n v="7"/>
    <x v="2"/>
    <x v="171"/>
    <s v="Valid"/>
    <n v="267.07"/>
    <n v="656.2656164"/>
    <s v="Normal"/>
    <n v="4"/>
    <n v="6.25E-2"/>
    <n v="272.11520000000002"/>
  </r>
  <r>
    <n v="175"/>
    <s v="US-2014-100853"/>
    <x v="80"/>
    <d v="2014-09-19T00:00:00"/>
    <x v="1"/>
    <s v="JB-15400"/>
    <s v="Jennifer Braxton"/>
    <x v="1"/>
    <s v="United States"/>
    <s v="Chicago"/>
    <s v="Illinois"/>
    <n v="60623"/>
    <x v="2"/>
    <s v="OFF-AP-10000891"/>
    <x v="1"/>
    <x v="9"/>
    <x v="165"/>
    <n v="52.448"/>
    <n v="2"/>
    <x v="3"/>
    <x v="172"/>
    <s v="Valid"/>
    <n v="267.07"/>
    <n v="656.2656164"/>
    <s v="Normal"/>
    <n v="5"/>
    <n v="-2.5"/>
    <n v="10.489599999999998"/>
  </r>
  <r>
    <n v="176"/>
    <s v="US-2014-100853"/>
    <x v="80"/>
    <d v="2014-09-19T00:00:00"/>
    <x v="1"/>
    <s v="JB-15400"/>
    <s v="Jennifer Braxton"/>
    <x v="1"/>
    <s v="United States"/>
    <s v="Chicago"/>
    <s v="Illinois"/>
    <n v="60623"/>
    <x v="2"/>
    <s v="OFF-LA-10003148"/>
    <x v="1"/>
    <x v="2"/>
    <x v="166"/>
    <n v="20.16"/>
    <n v="4"/>
    <x v="2"/>
    <x v="173"/>
    <s v="Valid"/>
    <n v="267.07"/>
    <n v="656.2656164"/>
    <s v="Normal"/>
    <n v="5"/>
    <n v="0.32499999999999996"/>
    <n v="16.128"/>
  </r>
  <r>
    <n v="177"/>
    <s v="US-2017-152366"/>
    <x v="81"/>
    <d v="2017-04-25T00:00:00"/>
    <x v="0"/>
    <s v="SJ-20500"/>
    <s v="Shirley Jackson"/>
    <x v="0"/>
    <s v="United States"/>
    <s v="Houston"/>
    <s v="Texas"/>
    <n v="77036"/>
    <x v="2"/>
    <s v="OFF-AP-10002684"/>
    <x v="1"/>
    <x v="9"/>
    <x v="167"/>
    <n v="97.263999999999996"/>
    <n v="4"/>
    <x v="3"/>
    <x v="174"/>
    <s v="Valid"/>
    <n v="267.07"/>
    <n v="656.2656164"/>
    <s v="Normal"/>
    <n v="4"/>
    <n v="-2.5"/>
    <n v="19.452799999999996"/>
  </r>
  <r>
    <n v="178"/>
    <s v="US-2015-101511"/>
    <x v="82"/>
    <d v="2015-11-23T00:00:00"/>
    <x v="0"/>
    <s v="JE-15745"/>
    <s v="Joel Eaton"/>
    <x v="0"/>
    <s v="United States"/>
    <s v="Newark"/>
    <s v="Ohio"/>
    <n v="43055"/>
    <x v="3"/>
    <s v="FUR-CH-10004698"/>
    <x v="0"/>
    <x v="1"/>
    <x v="168"/>
    <n v="396.80200000000002"/>
    <n v="7"/>
    <x v="4"/>
    <x v="175"/>
    <s v="Valid"/>
    <n v="267.07"/>
    <n v="656.2656164"/>
    <s v="Normal"/>
    <n v="2"/>
    <n v="-2.8571428571428567E-2"/>
    <n v="277.76139999999998"/>
  </r>
  <r>
    <n v="179"/>
    <s v="US-2015-101511"/>
    <x v="82"/>
    <d v="2015-11-23T00:00:00"/>
    <x v="0"/>
    <s v="JE-15745"/>
    <s v="Joel Eaton"/>
    <x v="0"/>
    <s v="United States"/>
    <s v="Newark"/>
    <s v="Ohio"/>
    <n v="43055"/>
    <x v="3"/>
    <s v="OFF-SU-10002189"/>
    <x v="1"/>
    <x v="14"/>
    <x v="169"/>
    <n v="15.88"/>
    <n v="5"/>
    <x v="2"/>
    <x v="176"/>
    <s v="Valid"/>
    <n v="267.07"/>
    <n v="656.2656164"/>
    <s v="Normal"/>
    <n v="2"/>
    <n v="-0.23749999999999999"/>
    <n v="12.704000000000001"/>
  </r>
  <r>
    <n v="180"/>
    <s v="CA-2015-137225"/>
    <x v="83"/>
    <d v="2015-12-19T00:00:00"/>
    <x v="1"/>
    <s v="JK-15640"/>
    <s v="Jim Kriz"/>
    <x v="2"/>
    <s v="United States"/>
    <s v="New York City"/>
    <s v="New York"/>
    <n v="10009"/>
    <x v="3"/>
    <s v="OFF-AR-10001940"/>
    <x v="1"/>
    <x v="6"/>
    <x v="170"/>
    <n v="3.28"/>
    <n v="1"/>
    <x v="0"/>
    <x v="177"/>
    <s v="Valid"/>
    <n v="267.07"/>
    <n v="656.2656164"/>
    <s v="Normal"/>
    <n v="4"/>
    <n v="0.43000000000000005"/>
    <n v="3.28"/>
  </r>
  <r>
    <n v="181"/>
    <s v="CA-2014-166191"/>
    <x v="29"/>
    <d v="2014-12-09T00:00:00"/>
    <x v="0"/>
    <s v="DK-13150"/>
    <s v="David Kendrick"/>
    <x v="1"/>
    <s v="United States"/>
    <s v="Decatur"/>
    <s v="Illinois"/>
    <n v="62521"/>
    <x v="2"/>
    <s v="OFF-ST-10003455"/>
    <x v="1"/>
    <x v="4"/>
    <x v="171"/>
    <n v="24.815999999999999"/>
    <n v="2"/>
    <x v="2"/>
    <x v="178"/>
    <s v="Valid"/>
    <n v="267.07"/>
    <n v="656.2656164"/>
    <s v="Normal"/>
    <n v="4"/>
    <n v="7.4999999999999997E-2"/>
    <n v="19.852800000000002"/>
  </r>
  <r>
    <n v="182"/>
    <s v="CA-2014-166191"/>
    <x v="29"/>
    <d v="2014-12-09T00:00:00"/>
    <x v="0"/>
    <s v="DK-13150"/>
    <s v="David Kendrick"/>
    <x v="1"/>
    <s v="United States"/>
    <s v="Decatur"/>
    <s v="Illinois"/>
    <n v="62521"/>
    <x v="2"/>
    <s v="TEC-AC-10004659"/>
    <x v="2"/>
    <x v="11"/>
    <x v="172"/>
    <n v="408.74400000000003"/>
    <n v="7"/>
    <x v="2"/>
    <x v="179"/>
    <s v="Valid"/>
    <n v="267.07"/>
    <n v="656.2656164"/>
    <s v="Normal"/>
    <n v="4"/>
    <n v="0.18749999999999997"/>
    <n v="326.99520000000007"/>
  </r>
  <r>
    <n v="183"/>
    <s v="CA-2014-158274"/>
    <x v="84"/>
    <d v="2014-11-24T00:00:00"/>
    <x v="0"/>
    <s v="RM-19675"/>
    <s v="Robert Marley"/>
    <x v="2"/>
    <s v="United States"/>
    <s v="Monroe"/>
    <s v="Louisiana"/>
    <n v="71203"/>
    <x v="0"/>
    <s v="TEC-PH-10003273"/>
    <x v="2"/>
    <x v="7"/>
    <x v="173"/>
    <n v="503.96"/>
    <n v="4"/>
    <x v="0"/>
    <x v="180"/>
    <s v="Valid"/>
    <n v="267.07"/>
    <n v="656.2656164"/>
    <s v="Normal"/>
    <n v="5"/>
    <n v="0.26"/>
    <n v="503.96"/>
  </r>
  <r>
    <n v="184"/>
    <s v="CA-2014-158274"/>
    <x v="84"/>
    <d v="2014-11-24T00:00:00"/>
    <x v="0"/>
    <s v="RM-19675"/>
    <s v="Robert Marley"/>
    <x v="2"/>
    <s v="United States"/>
    <s v="Monroe"/>
    <s v="Louisiana"/>
    <n v="71203"/>
    <x v="0"/>
    <s v="TEC-PH-10004896"/>
    <x v="2"/>
    <x v="7"/>
    <x v="174"/>
    <n v="149.94999999999999"/>
    <n v="5"/>
    <x v="0"/>
    <x v="181"/>
    <s v="Valid"/>
    <n v="267.07"/>
    <n v="656.2656164"/>
    <s v="Normal"/>
    <n v="5"/>
    <n v="0.28000000000000003"/>
    <n v="149.94999999999999"/>
  </r>
  <r>
    <n v="185"/>
    <s v="CA-2014-158274"/>
    <x v="84"/>
    <d v="2014-11-24T00:00:00"/>
    <x v="0"/>
    <s v="RM-19675"/>
    <s v="Robert Marley"/>
    <x v="2"/>
    <s v="United States"/>
    <s v="Monroe"/>
    <s v="Louisiana"/>
    <n v="71203"/>
    <x v="0"/>
    <s v="TEC-AC-10002345"/>
    <x v="2"/>
    <x v="11"/>
    <x v="175"/>
    <n v="29"/>
    <n v="2"/>
    <x v="0"/>
    <x v="182"/>
    <s v="Valid"/>
    <n v="267.07"/>
    <n v="656.2656164"/>
    <s v="Normal"/>
    <n v="5"/>
    <n v="0.25"/>
    <n v="29"/>
  </r>
  <r>
    <n v="186"/>
    <s v="CA-2016-105018"/>
    <x v="85"/>
    <d v="2016-12-02T00:00:00"/>
    <x v="1"/>
    <s v="SK-19990"/>
    <s v="Sally Knutson"/>
    <x v="0"/>
    <s v="United States"/>
    <s v="Fairfield"/>
    <s v="Connecticut"/>
    <n v="6824"/>
    <x v="3"/>
    <s v="OFF-BI-10001890"/>
    <x v="1"/>
    <x v="8"/>
    <x v="176"/>
    <n v="7.16"/>
    <n v="2"/>
    <x v="0"/>
    <x v="183"/>
    <s v="Valid"/>
    <n v="267.07"/>
    <n v="656.2656164"/>
    <s v="Normal"/>
    <n v="4"/>
    <n v="0.48"/>
    <n v="7.16"/>
  </r>
  <r>
    <n v="187"/>
    <s v="CA-2014-123260"/>
    <x v="86"/>
    <d v="2014-08-30T00:00:00"/>
    <x v="1"/>
    <s v="FM-14290"/>
    <s v="Frank Merwin"/>
    <x v="2"/>
    <s v="United States"/>
    <s v="Los Angeles"/>
    <s v="California"/>
    <n v="90032"/>
    <x v="1"/>
    <s v="TEC-AC-10002323"/>
    <x v="2"/>
    <x v="11"/>
    <x v="177"/>
    <n v="176.8"/>
    <n v="8"/>
    <x v="0"/>
    <x v="184"/>
    <s v="Valid"/>
    <n v="267.07"/>
    <n v="656.2656164"/>
    <s v="Normal"/>
    <n v="4"/>
    <n v="0.13"/>
    <n v="176.8"/>
  </r>
  <r>
    <n v="188"/>
    <s v="CA-2016-157000"/>
    <x v="87"/>
    <d v="2016-07-22T00:00:00"/>
    <x v="1"/>
    <s v="AM-10360"/>
    <s v="Alice McCarthy"/>
    <x v="1"/>
    <s v="United States"/>
    <s v="Grand Prairie"/>
    <s v="Texas"/>
    <n v="75051"/>
    <x v="2"/>
    <s v="OFF-ST-10001328"/>
    <x v="1"/>
    <x v="4"/>
    <x v="178"/>
    <n v="37.223999999999997"/>
    <n v="3"/>
    <x v="2"/>
    <x v="185"/>
    <s v="Valid"/>
    <n v="267.07"/>
    <n v="656.2656164"/>
    <s v="Normal"/>
    <n v="6"/>
    <n v="0.1"/>
    <n v="29.779199999999999"/>
  </r>
  <r>
    <n v="189"/>
    <s v="CA-2016-157000"/>
    <x v="87"/>
    <d v="2016-07-22T00:00:00"/>
    <x v="1"/>
    <s v="AM-10360"/>
    <s v="Alice McCarthy"/>
    <x v="1"/>
    <s v="United States"/>
    <s v="Grand Prairie"/>
    <s v="Texas"/>
    <n v="75051"/>
    <x v="2"/>
    <s v="OFF-PA-10001950"/>
    <x v="1"/>
    <x v="10"/>
    <x v="145"/>
    <n v="20.015999999999998"/>
    <n v="3"/>
    <x v="2"/>
    <x v="186"/>
    <s v="Valid"/>
    <n v="267.07"/>
    <n v="656.2656164"/>
    <s v="Normal"/>
    <n v="6"/>
    <n v="0.3125"/>
    <n v="16.012799999999999"/>
  </r>
  <r>
    <n v="190"/>
    <s v="CA-2015-102281"/>
    <x v="88"/>
    <d v="2015-10-14T00:00:00"/>
    <x v="2"/>
    <s v="MP-17470"/>
    <s v="Mark Packer"/>
    <x v="2"/>
    <s v="United States"/>
    <s v="New York City"/>
    <s v="New York"/>
    <n v="10035"/>
    <x v="3"/>
    <s v="FUR-BO-10002613"/>
    <x v="0"/>
    <x v="0"/>
    <x v="179"/>
    <n v="899.13599999999997"/>
    <n v="4"/>
    <x v="2"/>
    <x v="187"/>
    <s v="Valid"/>
    <n v="267.07"/>
    <n v="656.2656164"/>
    <s v="Normal"/>
    <n v="2"/>
    <n v="0.125"/>
    <n v="719.30880000000002"/>
  </r>
  <r>
    <n v="191"/>
    <s v="CA-2015-102281"/>
    <x v="88"/>
    <d v="2015-10-14T00:00:00"/>
    <x v="2"/>
    <s v="MP-17470"/>
    <s v="Mark Packer"/>
    <x v="2"/>
    <s v="United States"/>
    <s v="New York City"/>
    <s v="New York"/>
    <n v="10035"/>
    <x v="3"/>
    <s v="TEC-PH-10001552"/>
    <x v="2"/>
    <x v="7"/>
    <x v="180"/>
    <n v="71.760000000000005"/>
    <n v="6"/>
    <x v="0"/>
    <x v="188"/>
    <s v="Valid"/>
    <n v="267.07"/>
    <n v="656.2656164"/>
    <s v="Normal"/>
    <n v="2"/>
    <n v="0.27999999999999997"/>
    <n v="71.760000000000005"/>
  </r>
  <r>
    <n v="192"/>
    <s v="CA-2015-102281"/>
    <x v="88"/>
    <d v="2015-10-14T00:00:00"/>
    <x v="2"/>
    <s v="MP-17470"/>
    <s v="Mark Packer"/>
    <x v="2"/>
    <s v="United States"/>
    <s v="New York City"/>
    <s v="New York"/>
    <n v="10035"/>
    <x v="3"/>
    <s v="OFF-PA-10000061"/>
    <x v="1"/>
    <x v="10"/>
    <x v="181"/>
    <n v="51.84"/>
    <n v="8"/>
    <x v="0"/>
    <x v="189"/>
    <s v="Valid"/>
    <n v="267.07"/>
    <n v="656.2656164"/>
    <s v="Normal"/>
    <n v="2"/>
    <n v="0.47999999999999993"/>
    <n v="51.84"/>
  </r>
  <r>
    <n v="193"/>
    <s v="CA-2015-102281"/>
    <x v="88"/>
    <d v="2015-10-14T00:00:00"/>
    <x v="2"/>
    <s v="MP-17470"/>
    <s v="Mark Packer"/>
    <x v="2"/>
    <s v="United States"/>
    <s v="New York City"/>
    <s v="New York"/>
    <n v="10035"/>
    <x v="3"/>
    <s v="FUR-BO-10002545"/>
    <x v="0"/>
    <x v="0"/>
    <x v="37"/>
    <n v="626.35199999999998"/>
    <n v="3"/>
    <x v="2"/>
    <x v="190"/>
    <s v="Valid"/>
    <n v="267.07"/>
    <n v="656.2656164"/>
    <s v="Normal"/>
    <n v="2"/>
    <n v="7.4999999999999997E-2"/>
    <n v="501.08159999999998"/>
  </r>
  <r>
    <n v="194"/>
    <s v="CA-2015-102281"/>
    <x v="88"/>
    <d v="2015-10-14T00:00:00"/>
    <x v="2"/>
    <s v="MP-17470"/>
    <s v="Mark Packer"/>
    <x v="2"/>
    <s v="United States"/>
    <s v="New York City"/>
    <s v="New York"/>
    <n v="10035"/>
    <x v="3"/>
    <s v="OFF-AR-10003514"/>
    <x v="1"/>
    <x v="6"/>
    <x v="182"/>
    <n v="19.899999999999999"/>
    <n v="5"/>
    <x v="0"/>
    <x v="191"/>
    <s v="Valid"/>
    <n v="267.07"/>
    <n v="656.2656164"/>
    <s v="Normal"/>
    <n v="2"/>
    <n v="0.33"/>
    <n v="19.899999999999999"/>
  </r>
  <r>
    <n v="195"/>
    <s v="CA-2015-131457"/>
    <x v="89"/>
    <d v="2015-11-06T00:00:00"/>
    <x v="1"/>
    <s v="MZ-17515"/>
    <s v="Mary Zewe"/>
    <x v="1"/>
    <s v="United States"/>
    <s v="Redlands"/>
    <s v="California"/>
    <n v="92374"/>
    <x v="1"/>
    <s v="OFF-EN-10001509"/>
    <x v="1"/>
    <x v="12"/>
    <x v="29"/>
    <n v="14.28"/>
    <n v="7"/>
    <x v="0"/>
    <x v="192"/>
    <s v="Valid"/>
    <n v="267.07"/>
    <n v="656.2656164"/>
    <s v="Normal"/>
    <n v="6"/>
    <n v="0.47000000000000003"/>
    <n v="14.28"/>
  </r>
  <r>
    <n v="196"/>
    <s v="CA-2014-140004"/>
    <x v="90"/>
    <d v="2014-03-25T00:00:00"/>
    <x v="1"/>
    <s v="CB-12025"/>
    <s v="Cassandra Brandow"/>
    <x v="0"/>
    <s v="United States"/>
    <s v="Hamilton"/>
    <s v="Ohio"/>
    <n v="45011"/>
    <x v="3"/>
    <s v="OFF-AR-10004685"/>
    <x v="1"/>
    <x v="6"/>
    <x v="183"/>
    <n v="7.4080000000000004"/>
    <n v="2"/>
    <x v="2"/>
    <x v="193"/>
    <s v="Valid"/>
    <n v="267.07"/>
    <n v="656.2656164"/>
    <s v="Normal"/>
    <n v="4"/>
    <n v="0.16249999999999998"/>
    <n v="5.926400000000001"/>
  </r>
  <r>
    <n v="197"/>
    <s v="CA-2014-140004"/>
    <x v="90"/>
    <d v="2014-03-25T00:00:00"/>
    <x v="1"/>
    <s v="CB-12025"/>
    <s v="Cassandra Brandow"/>
    <x v="0"/>
    <s v="United States"/>
    <s v="Hamilton"/>
    <s v="Ohio"/>
    <n v="45011"/>
    <x v="3"/>
    <s v="OFF-AR-10004027"/>
    <x v="1"/>
    <x v="6"/>
    <x v="184"/>
    <n v="6.048"/>
    <n v="3"/>
    <x v="2"/>
    <x v="194"/>
    <s v="Valid"/>
    <n v="267.07"/>
    <n v="656.2656164"/>
    <s v="Normal"/>
    <n v="4"/>
    <n v="0.26249999999999996"/>
    <n v="4.8384"/>
  </r>
  <r>
    <n v="198"/>
    <s v="CA-2017-107720"/>
    <x v="44"/>
    <d v="2017-11-13T00:00:00"/>
    <x v="1"/>
    <s v="VM-21685"/>
    <s v="Valerie Mitchum"/>
    <x v="2"/>
    <s v="United States"/>
    <s v="Westfield"/>
    <s v="New Jersey"/>
    <n v="7090"/>
    <x v="3"/>
    <s v="OFF-ST-10001414"/>
    <x v="1"/>
    <x v="4"/>
    <x v="185"/>
    <n v="46.26"/>
    <n v="3"/>
    <x v="0"/>
    <x v="195"/>
    <s v="Valid"/>
    <n v="267.07"/>
    <n v="656.2656164"/>
    <s v="Normal"/>
    <n v="7"/>
    <n v="0.26"/>
    <n v="46.26"/>
  </r>
  <r>
    <n v="199"/>
    <s v="US-2017-124303"/>
    <x v="91"/>
    <d v="2017-07-13T00:00:00"/>
    <x v="1"/>
    <s v="FH-14365"/>
    <s v="Fred Hopkins"/>
    <x v="1"/>
    <s v="United States"/>
    <s v="Philadelphia"/>
    <s v="Pennsylvania"/>
    <n v="19120"/>
    <x v="3"/>
    <s v="OFF-BI-10000343"/>
    <x v="1"/>
    <x v="8"/>
    <x v="186"/>
    <n v="2.9460000000000002"/>
    <n v="2"/>
    <x v="6"/>
    <x v="196"/>
    <s v="Valid"/>
    <n v="267.07"/>
    <n v="656.2656164"/>
    <s v="Normal"/>
    <n v="7"/>
    <n v="-0.76666666666666661"/>
    <n v="0.88380000000000014"/>
  </r>
  <r>
    <n v="200"/>
    <s v="US-2017-124303"/>
    <x v="91"/>
    <d v="2017-07-13T00:00:00"/>
    <x v="1"/>
    <s v="FH-14365"/>
    <s v="Fred Hopkins"/>
    <x v="1"/>
    <s v="United States"/>
    <s v="Philadelphia"/>
    <s v="Pennsylvania"/>
    <n v="19120"/>
    <x v="3"/>
    <s v="OFF-PA-10002749"/>
    <x v="1"/>
    <x v="10"/>
    <x v="187"/>
    <n v="16.056000000000001"/>
    <n v="3"/>
    <x v="2"/>
    <x v="197"/>
    <s v="Valid"/>
    <n v="267.07"/>
    <n v="656.2656164"/>
    <s v="Normal"/>
    <n v="7"/>
    <n v="0.36249999999999993"/>
    <n v="12.844800000000001"/>
  </r>
  <r>
    <n v="201"/>
    <s v="CA-2017-105074"/>
    <x v="92"/>
    <d v="2017-06-29T00:00:00"/>
    <x v="1"/>
    <s v="MB-17305"/>
    <s v="Maria Bertelson"/>
    <x v="0"/>
    <s v="United States"/>
    <s v="Akron"/>
    <s v="Ohio"/>
    <n v="44312"/>
    <x v="3"/>
    <s v="OFF-PA-10002666"/>
    <x v="1"/>
    <x v="10"/>
    <x v="188"/>
    <n v="21.744"/>
    <n v="3"/>
    <x v="2"/>
    <x v="198"/>
    <s v="Valid"/>
    <n v="267.07"/>
    <n v="656.2656164"/>
    <s v="Normal"/>
    <n v="5"/>
    <n v="0.3125"/>
    <n v="17.395199999999999"/>
  </r>
  <r>
    <n v="202"/>
    <s v="CA-2014-133690"/>
    <x v="93"/>
    <d v="2014-08-05T00:00:00"/>
    <x v="2"/>
    <s v="BS-11755"/>
    <s v="Bruce Stewart"/>
    <x v="0"/>
    <s v="United States"/>
    <s v="Denver"/>
    <s v="Colorado"/>
    <n v="80219"/>
    <x v="1"/>
    <s v="FUR-TA-10004289"/>
    <x v="0"/>
    <x v="3"/>
    <x v="189"/>
    <n v="218.75"/>
    <n v="2"/>
    <x v="5"/>
    <x v="199"/>
    <s v="Valid"/>
    <n v="267.07"/>
    <n v="656.2656164"/>
    <s v="Normal"/>
    <n v="2"/>
    <n v="-0.74"/>
    <n v="109.375"/>
  </r>
  <r>
    <n v="203"/>
    <s v="CA-2014-133690"/>
    <x v="93"/>
    <d v="2014-08-05T00:00:00"/>
    <x v="2"/>
    <s v="BS-11755"/>
    <s v="Bruce Stewart"/>
    <x v="0"/>
    <s v="United States"/>
    <s v="Denver"/>
    <s v="Colorado"/>
    <n v="80219"/>
    <x v="1"/>
    <s v="OFF-AP-10003622"/>
    <x v="1"/>
    <x v="9"/>
    <x v="190"/>
    <n v="2.6"/>
    <n v="1"/>
    <x v="2"/>
    <x v="200"/>
    <s v="Valid"/>
    <n v="267.07"/>
    <n v="656.2656164"/>
    <s v="Normal"/>
    <n v="2"/>
    <n v="0.11249999999999999"/>
    <n v="2.08"/>
  </r>
  <r>
    <n v="204"/>
    <s v="US-2017-116701"/>
    <x v="94"/>
    <d v="2017-12-21T00:00:00"/>
    <x v="0"/>
    <s v="LC-17140"/>
    <s v="Logan Currie"/>
    <x v="0"/>
    <s v="United States"/>
    <s v="Dallas"/>
    <s v="Texas"/>
    <n v="75220"/>
    <x v="2"/>
    <s v="OFF-AP-10003217"/>
    <x v="1"/>
    <x v="9"/>
    <x v="191"/>
    <n v="66.284000000000006"/>
    <n v="2"/>
    <x v="3"/>
    <x v="201"/>
    <s v="Valid"/>
    <n v="267.07"/>
    <n v="656.2656164"/>
    <s v="Normal"/>
    <n v="4"/>
    <n v="-2.6999999999999997"/>
    <n v="13.256799999999998"/>
  </r>
  <r>
    <n v="205"/>
    <s v="CA-2017-126382"/>
    <x v="95"/>
    <d v="2017-06-07T00:00:00"/>
    <x v="1"/>
    <s v="HK-14890"/>
    <s v="Heather Kirkland"/>
    <x v="1"/>
    <s v="United States"/>
    <s v="Franklin"/>
    <s v="Tennessee"/>
    <n v="37064"/>
    <x v="0"/>
    <s v="FUR-FU-10002960"/>
    <x v="0"/>
    <x v="5"/>
    <x v="192"/>
    <n v="35.167999999999999"/>
    <n v="7"/>
    <x v="2"/>
    <x v="202"/>
    <s v="Valid"/>
    <n v="267.07"/>
    <n v="656.2656164"/>
    <s v="Normal"/>
    <n v="4"/>
    <n v="0.27500000000000002"/>
    <n v="28.134399999999999"/>
  </r>
  <r>
    <n v="206"/>
    <s v="CA-2017-108329"/>
    <x v="34"/>
    <d v="2017-12-14T00:00:00"/>
    <x v="1"/>
    <s v="LE-16810"/>
    <s v="Laurel Elliston"/>
    <x v="0"/>
    <s v="United States"/>
    <s v="Whittier"/>
    <s v="California"/>
    <n v="90604"/>
    <x v="1"/>
    <s v="TEC-PH-10001918"/>
    <x v="2"/>
    <x v="7"/>
    <x v="193"/>
    <n v="444.76799999999997"/>
    <n v="4"/>
    <x v="2"/>
    <x v="203"/>
    <s v="Valid"/>
    <n v="267.07"/>
    <n v="656.2656164"/>
    <s v="Normal"/>
    <n v="5"/>
    <n v="0.1"/>
    <n v="355.81439999999998"/>
  </r>
  <r>
    <n v="207"/>
    <s v="CA-2017-135860"/>
    <x v="96"/>
    <d v="2017-12-07T00:00:00"/>
    <x v="1"/>
    <s v="JH-15985"/>
    <s v="Joseph Holt"/>
    <x v="0"/>
    <s v="United States"/>
    <s v="Saginaw"/>
    <s v="Michigan"/>
    <n v="48601"/>
    <x v="2"/>
    <s v="OFF-ST-10000642"/>
    <x v="1"/>
    <x v="4"/>
    <x v="194"/>
    <n v="83.92"/>
    <n v="4"/>
    <x v="0"/>
    <x v="204"/>
    <s v="Valid"/>
    <n v="267.07"/>
    <n v="656.2656164"/>
    <s v="Normal"/>
    <n v="6"/>
    <n v="6.9999999999999993E-2"/>
    <n v="83.92"/>
  </r>
  <r>
    <n v="208"/>
    <s v="CA-2017-135860"/>
    <x v="96"/>
    <d v="2017-12-07T00:00:00"/>
    <x v="1"/>
    <s v="JH-15985"/>
    <s v="Joseph Holt"/>
    <x v="0"/>
    <s v="United States"/>
    <s v="Saginaw"/>
    <s v="Michigan"/>
    <n v="48601"/>
    <x v="2"/>
    <s v="TEC-PH-10001700"/>
    <x v="2"/>
    <x v="7"/>
    <x v="195"/>
    <n v="131.97999999999999"/>
    <n v="2"/>
    <x v="0"/>
    <x v="205"/>
    <s v="Valid"/>
    <n v="267.07"/>
    <n v="656.2656164"/>
    <s v="Normal"/>
    <n v="6"/>
    <n v="0.27"/>
    <n v="131.97999999999999"/>
  </r>
  <r>
    <n v="209"/>
    <s v="CA-2017-135860"/>
    <x v="96"/>
    <d v="2017-12-07T00:00:00"/>
    <x v="1"/>
    <s v="JH-15985"/>
    <s v="Joseph Holt"/>
    <x v="0"/>
    <s v="United States"/>
    <s v="Saginaw"/>
    <s v="Michigan"/>
    <n v="48601"/>
    <x v="2"/>
    <s v="OFF-BI-10003274"/>
    <x v="1"/>
    <x v="8"/>
    <x v="122"/>
    <n v="15.92"/>
    <n v="4"/>
    <x v="0"/>
    <x v="206"/>
    <s v="Valid"/>
    <n v="267.07"/>
    <n v="656.2656164"/>
    <s v="Normal"/>
    <n v="6"/>
    <n v="0.47000000000000003"/>
    <n v="15.92"/>
  </r>
  <r>
    <n v="210"/>
    <s v="CA-2017-135860"/>
    <x v="96"/>
    <d v="2017-12-07T00:00:00"/>
    <x v="1"/>
    <s v="JH-15985"/>
    <s v="Joseph Holt"/>
    <x v="0"/>
    <s v="United States"/>
    <s v="Saginaw"/>
    <s v="Michigan"/>
    <n v="48601"/>
    <x v="2"/>
    <s v="OFF-FA-10000134"/>
    <x v="1"/>
    <x v="13"/>
    <x v="196"/>
    <n v="52.29"/>
    <n v="9"/>
    <x v="0"/>
    <x v="207"/>
    <s v="Valid"/>
    <n v="267.07"/>
    <n v="656.2656164"/>
    <s v="Normal"/>
    <n v="6"/>
    <n v="0.31000000000000005"/>
    <n v="52.29"/>
  </r>
  <r>
    <n v="211"/>
    <s v="CA-2017-135860"/>
    <x v="96"/>
    <d v="2017-12-07T00:00:00"/>
    <x v="1"/>
    <s v="JH-15985"/>
    <s v="Joseph Holt"/>
    <x v="0"/>
    <s v="United States"/>
    <s v="Saginaw"/>
    <s v="Michigan"/>
    <n v="48601"/>
    <x v="2"/>
    <s v="OFF-ST-10001522"/>
    <x v="1"/>
    <x v="4"/>
    <x v="197"/>
    <n v="91.99"/>
    <n v="1"/>
    <x v="0"/>
    <x v="208"/>
    <s v="Valid"/>
    <n v="267.07"/>
    <n v="656.2656164"/>
    <s v="Normal"/>
    <n v="6"/>
    <n v="4.0000000000000008E-2"/>
    <n v="91.99"/>
  </r>
  <r>
    <n v="212"/>
    <s v="CA-2015-101007"/>
    <x v="97"/>
    <d v="2015-02-13T00:00:00"/>
    <x v="0"/>
    <s v="MS-17980"/>
    <s v="Michael Stewart"/>
    <x v="1"/>
    <s v="United States"/>
    <s v="Dallas"/>
    <s v="Texas"/>
    <n v="75220"/>
    <x v="2"/>
    <s v="TEC-AC-10001266"/>
    <x v="2"/>
    <x v="11"/>
    <x v="198"/>
    <n v="20.8"/>
    <n v="2"/>
    <x v="2"/>
    <x v="209"/>
    <s v="Valid"/>
    <n v="267.07"/>
    <n v="656.2656164"/>
    <s v="Normal"/>
    <n v="4"/>
    <n v="0.3125"/>
    <n v="16.64"/>
  </r>
  <r>
    <n v="213"/>
    <s v="CA-2015-146262"/>
    <x v="98"/>
    <d v="2015-01-09T00:00:00"/>
    <x v="1"/>
    <s v="VW-21775"/>
    <s v="Victoria Wilson"/>
    <x v="1"/>
    <s v="United States"/>
    <s v="Medina"/>
    <s v="Ohio"/>
    <n v="44256"/>
    <x v="3"/>
    <s v="OFF-LA-10004544"/>
    <x v="1"/>
    <x v="2"/>
    <x v="199"/>
    <n v="23.68"/>
    <n v="2"/>
    <x v="2"/>
    <x v="210"/>
    <s v="Valid"/>
    <n v="267.07"/>
    <n v="656.2656164"/>
    <s v="Normal"/>
    <n v="7"/>
    <n v="0.37500000000000006"/>
    <n v="18.943999999999999"/>
  </r>
  <r>
    <n v="214"/>
    <s v="CA-2015-146262"/>
    <x v="98"/>
    <d v="2015-01-09T00:00:00"/>
    <x v="1"/>
    <s v="VW-21775"/>
    <s v="Victoria Wilson"/>
    <x v="1"/>
    <s v="United States"/>
    <s v="Medina"/>
    <s v="Ohio"/>
    <n v="44256"/>
    <x v="3"/>
    <s v="FUR-BO-10004695"/>
    <x v="0"/>
    <x v="0"/>
    <x v="200"/>
    <n v="452.45"/>
    <n v="5"/>
    <x v="5"/>
    <x v="211"/>
    <s v="Valid"/>
    <n v="267.07"/>
    <n v="656.2656164"/>
    <s v="Normal"/>
    <n v="7"/>
    <n v="-0.54"/>
    <n v="226.22499999999999"/>
  </r>
  <r>
    <n v="215"/>
    <s v="CA-2015-146262"/>
    <x v="98"/>
    <d v="2015-01-09T00:00:00"/>
    <x v="1"/>
    <s v="VW-21775"/>
    <s v="Victoria Wilson"/>
    <x v="1"/>
    <s v="United States"/>
    <s v="Medina"/>
    <s v="Ohio"/>
    <n v="44256"/>
    <x v="3"/>
    <s v="TEC-PH-10002844"/>
    <x v="2"/>
    <x v="7"/>
    <x v="104"/>
    <n v="62.981999999999999"/>
    <n v="3"/>
    <x v="10"/>
    <x v="212"/>
    <s v="Valid"/>
    <n v="267.07"/>
    <n v="656.2656164"/>
    <s v="Normal"/>
    <n v="7"/>
    <n v="-0.23333333333333334"/>
    <n v="37.789200000000001"/>
  </r>
  <r>
    <n v="216"/>
    <s v="CA-2015-146262"/>
    <x v="98"/>
    <d v="2015-01-09T00:00:00"/>
    <x v="1"/>
    <s v="VW-21775"/>
    <s v="Victoria Wilson"/>
    <x v="1"/>
    <s v="United States"/>
    <s v="Medina"/>
    <s v="Ohio"/>
    <n v="44256"/>
    <x v="3"/>
    <s v="TEC-MA-10000864"/>
    <x v="2"/>
    <x v="15"/>
    <x v="201"/>
    <n v="1188"/>
    <n v="9"/>
    <x v="6"/>
    <x v="213"/>
    <s v="Valid"/>
    <n v="267.07"/>
    <n v="656.2656164"/>
    <s v="Normal"/>
    <n v="7"/>
    <n v="-0.79999999999999993"/>
    <n v="356.40000000000003"/>
  </r>
  <r>
    <n v="217"/>
    <s v="CA-2015-146262"/>
    <x v="98"/>
    <d v="2015-01-09T00:00:00"/>
    <x v="1"/>
    <s v="VW-21775"/>
    <s v="Victoria Wilson"/>
    <x v="1"/>
    <s v="United States"/>
    <s v="Medina"/>
    <s v="Ohio"/>
    <n v="44256"/>
    <x v="3"/>
    <s v="TEC-AC-10000109"/>
    <x v="2"/>
    <x v="11"/>
    <x v="202"/>
    <n v="89.584000000000003"/>
    <n v="2"/>
    <x v="2"/>
    <x v="214"/>
    <s v="Valid"/>
    <n v="267.07"/>
    <n v="656.2656164"/>
    <s v="Normal"/>
    <n v="7"/>
    <n v="4.9999999999999996E-2"/>
    <n v="71.667200000000008"/>
  </r>
  <r>
    <n v="218"/>
    <s v="CA-2016-130162"/>
    <x v="99"/>
    <d v="2016-11-01T00:00:00"/>
    <x v="1"/>
    <s v="JH-15910"/>
    <s v="Jonathan Howell"/>
    <x v="0"/>
    <s v="United States"/>
    <s v="Los Angeles"/>
    <s v="California"/>
    <n v="90032"/>
    <x v="1"/>
    <s v="OFF-ST-10001328"/>
    <x v="1"/>
    <x v="4"/>
    <x v="178"/>
    <n v="93.06"/>
    <n v="6"/>
    <x v="0"/>
    <x v="215"/>
    <s v="Valid"/>
    <n v="267.07"/>
    <n v="656.2656164"/>
    <s v="Normal"/>
    <n v="4"/>
    <n v="0.27999999999999997"/>
    <n v="93.06"/>
  </r>
  <r>
    <n v="219"/>
    <s v="CA-2016-130162"/>
    <x v="99"/>
    <d v="2016-11-01T00:00:00"/>
    <x v="1"/>
    <s v="JH-15910"/>
    <s v="Jonathan Howell"/>
    <x v="0"/>
    <s v="United States"/>
    <s v="Los Angeles"/>
    <s v="California"/>
    <n v="90032"/>
    <x v="1"/>
    <s v="TEC-PH-10002563"/>
    <x v="2"/>
    <x v="7"/>
    <x v="203"/>
    <n v="302.37599999999998"/>
    <n v="3"/>
    <x v="2"/>
    <x v="216"/>
    <s v="Valid"/>
    <n v="267.07"/>
    <n v="656.2656164"/>
    <s v="Normal"/>
    <n v="4"/>
    <n v="7.5000000000000011E-2"/>
    <n v="241.9008"/>
  </r>
  <r>
    <n v="220"/>
    <s v="CA-2015-169397"/>
    <x v="100"/>
    <d v="2015-12-27T00:00:00"/>
    <x v="2"/>
    <s v="JB-15925"/>
    <s v="Joni Blumstein"/>
    <x v="0"/>
    <s v="United States"/>
    <s v="Dublin"/>
    <s v="Ohio"/>
    <n v="43017"/>
    <x v="3"/>
    <s v="OFF-FA-10000585"/>
    <x v="1"/>
    <x v="13"/>
    <x v="204"/>
    <n v="5.5839999999999996"/>
    <n v="2"/>
    <x v="2"/>
    <x v="217"/>
    <s v="Valid"/>
    <n v="267.07"/>
    <n v="656.2656164"/>
    <s v="Normal"/>
    <n v="3"/>
    <n v="0.32500000000000001"/>
    <n v="4.4672000000000001"/>
  </r>
  <r>
    <n v="221"/>
    <s v="CA-2015-169397"/>
    <x v="100"/>
    <d v="2015-12-27T00:00:00"/>
    <x v="2"/>
    <s v="JB-15925"/>
    <s v="Joni Blumstein"/>
    <x v="0"/>
    <s v="United States"/>
    <s v="Dublin"/>
    <s v="Ohio"/>
    <n v="43017"/>
    <x v="3"/>
    <s v="OFF-PA-10004000"/>
    <x v="1"/>
    <x v="10"/>
    <x v="205"/>
    <n v="22.704000000000001"/>
    <n v="6"/>
    <x v="2"/>
    <x v="218"/>
    <s v="Valid"/>
    <n v="267.07"/>
    <n v="656.2656164"/>
    <s v="Normal"/>
    <n v="3"/>
    <n v="0.36249999999999999"/>
    <n v="18.1632"/>
  </r>
  <r>
    <n v="222"/>
    <s v="CA-2015-169397"/>
    <x v="100"/>
    <d v="2015-12-27T00:00:00"/>
    <x v="2"/>
    <s v="JB-15925"/>
    <s v="Joni Blumstein"/>
    <x v="0"/>
    <s v="United States"/>
    <s v="Dublin"/>
    <s v="Ohio"/>
    <n v="43017"/>
    <x v="3"/>
    <s v="OFF-BI-10002852"/>
    <x v="1"/>
    <x v="8"/>
    <x v="91"/>
    <n v="19.776"/>
    <n v="4"/>
    <x v="6"/>
    <x v="219"/>
    <s v="Valid"/>
    <n v="267.07"/>
    <n v="656.2656164"/>
    <s v="Normal"/>
    <n v="3"/>
    <n v="-0.7"/>
    <n v="5.9328000000000012"/>
  </r>
  <r>
    <n v="223"/>
    <s v="CA-2015-169397"/>
    <x v="100"/>
    <d v="2015-12-27T00:00:00"/>
    <x v="2"/>
    <s v="JB-15925"/>
    <s v="Joni Blumstein"/>
    <x v="0"/>
    <s v="United States"/>
    <s v="Dublin"/>
    <s v="Ohio"/>
    <n v="43017"/>
    <x v="3"/>
    <s v="FUR-FU-10000087"/>
    <x v="0"/>
    <x v="5"/>
    <x v="206"/>
    <n v="72.703999999999994"/>
    <n v="4"/>
    <x v="2"/>
    <x v="220"/>
    <s v="Valid"/>
    <n v="267.07"/>
    <n v="656.2656164"/>
    <s v="Normal"/>
    <n v="3"/>
    <n v="0.26250000000000007"/>
    <n v="58.163199999999996"/>
  </r>
  <r>
    <n v="224"/>
    <s v="CA-2015-169397"/>
    <x v="100"/>
    <d v="2015-12-27T00:00:00"/>
    <x v="2"/>
    <s v="JB-15925"/>
    <s v="Joni Blumstein"/>
    <x v="0"/>
    <s v="United States"/>
    <s v="Dublin"/>
    <s v="Ohio"/>
    <n v="43017"/>
    <x v="3"/>
    <s v="TEC-MA-10001148"/>
    <x v="2"/>
    <x v="15"/>
    <x v="207"/>
    <n v="479.988"/>
    <n v="4"/>
    <x v="6"/>
    <x v="221"/>
    <s v="Valid"/>
    <n v="267.07"/>
    <n v="656.2656164"/>
    <s v="Normal"/>
    <n v="3"/>
    <n v="-0.8"/>
    <n v="143.99640000000002"/>
  </r>
  <r>
    <n v="225"/>
    <s v="CA-2015-169397"/>
    <x v="100"/>
    <d v="2015-12-27T00:00:00"/>
    <x v="2"/>
    <s v="JB-15925"/>
    <s v="Joni Blumstein"/>
    <x v="0"/>
    <s v="United States"/>
    <s v="Dublin"/>
    <s v="Ohio"/>
    <n v="43017"/>
    <x v="3"/>
    <s v="OFF-AR-10001958"/>
    <x v="1"/>
    <x v="6"/>
    <x v="208"/>
    <n v="27.167999999999999"/>
    <n v="2"/>
    <x v="2"/>
    <x v="222"/>
    <s v="Valid"/>
    <n v="267.07"/>
    <n v="656.2656164"/>
    <s v="Normal"/>
    <n v="3"/>
    <n v="0.1"/>
    <n v="21.734400000000001"/>
  </r>
  <r>
    <n v="226"/>
    <s v="CA-2015-163055"/>
    <x v="101"/>
    <d v="2015-08-16T00:00:00"/>
    <x v="1"/>
    <s v="DS-13180"/>
    <s v="David Smith"/>
    <x v="1"/>
    <s v="United States"/>
    <s v="Detroit"/>
    <s v="Michigan"/>
    <n v="48227"/>
    <x v="2"/>
    <s v="OFF-AR-10001026"/>
    <x v="1"/>
    <x v="6"/>
    <x v="209"/>
    <n v="2.2000000000000002"/>
    <n v="1"/>
    <x v="0"/>
    <x v="223"/>
    <s v="Valid"/>
    <n v="267.07"/>
    <n v="656.2656164"/>
    <s v="Normal"/>
    <n v="7"/>
    <n v="0.43999999999999995"/>
    <n v="2.2000000000000002"/>
  </r>
  <r>
    <n v="227"/>
    <s v="CA-2015-163055"/>
    <x v="101"/>
    <d v="2015-08-16T00:00:00"/>
    <x v="1"/>
    <s v="DS-13180"/>
    <s v="David Smith"/>
    <x v="1"/>
    <s v="United States"/>
    <s v="Detroit"/>
    <s v="Michigan"/>
    <n v="48227"/>
    <x v="2"/>
    <s v="FUR-TA-10003748"/>
    <x v="0"/>
    <x v="3"/>
    <x v="210"/>
    <n v="622.45000000000005"/>
    <n v="5"/>
    <x v="0"/>
    <x v="224"/>
    <s v="Valid"/>
    <n v="267.07"/>
    <n v="656.2656164"/>
    <s v="Normal"/>
    <n v="7"/>
    <n v="0.21999999999999997"/>
    <n v="622.45000000000005"/>
  </r>
  <r>
    <n v="228"/>
    <s v="CA-2015-163055"/>
    <x v="101"/>
    <d v="2015-08-16T00:00:00"/>
    <x v="1"/>
    <s v="DS-13180"/>
    <s v="David Smith"/>
    <x v="1"/>
    <s v="United States"/>
    <s v="Detroit"/>
    <s v="Michigan"/>
    <n v="48227"/>
    <x v="2"/>
    <s v="OFF-ST-10002485"/>
    <x v="1"/>
    <x v="4"/>
    <x v="211"/>
    <n v="21.98"/>
    <n v="1"/>
    <x v="0"/>
    <x v="225"/>
    <s v="Valid"/>
    <n v="267.07"/>
    <n v="656.2656164"/>
    <s v="Normal"/>
    <n v="7"/>
    <n v="0.01"/>
    <n v="21.98"/>
  </r>
  <r>
    <n v="229"/>
    <s v="US-2015-145436"/>
    <x v="102"/>
    <d v="2015-03-04T00:00:00"/>
    <x v="1"/>
    <s v="VD-21670"/>
    <s v="Valerie Dominguez"/>
    <x v="0"/>
    <s v="United States"/>
    <s v="Columbia"/>
    <s v="Tennessee"/>
    <n v="38401"/>
    <x v="0"/>
    <s v="FUR-CH-10004860"/>
    <x v="0"/>
    <x v="1"/>
    <x v="212"/>
    <n v="161.56800000000001"/>
    <n v="2"/>
    <x v="2"/>
    <x v="226"/>
    <s v="Valid"/>
    <n v="267.07"/>
    <n v="656.2656164"/>
    <s v="Normal"/>
    <n v="4"/>
    <n v="-0.17499999999999999"/>
    <n v="129.2544"/>
  </r>
  <r>
    <n v="230"/>
    <s v="US-2015-145436"/>
    <x v="102"/>
    <d v="2015-03-04T00:00:00"/>
    <x v="1"/>
    <s v="VD-21670"/>
    <s v="Valerie Dominguez"/>
    <x v="0"/>
    <s v="United States"/>
    <s v="Columbia"/>
    <s v="Tennessee"/>
    <n v="38401"/>
    <x v="0"/>
    <s v="FUR-CH-10004477"/>
    <x v="0"/>
    <x v="1"/>
    <x v="213"/>
    <n v="389.69600000000003"/>
    <n v="8"/>
    <x v="2"/>
    <x v="227"/>
    <s v="Valid"/>
    <n v="267.07"/>
    <n v="656.2656164"/>
    <s v="Normal"/>
    <n v="4"/>
    <n v="0.1125"/>
    <n v="311.75680000000006"/>
  </r>
  <r>
    <n v="231"/>
    <s v="US-2014-156216"/>
    <x v="103"/>
    <d v="2014-09-17T00:00:00"/>
    <x v="1"/>
    <s v="EA-14035"/>
    <s v="Erin Ashbrook"/>
    <x v="1"/>
    <s v="United States"/>
    <s v="Charlotte"/>
    <s v="North Carolina"/>
    <n v="28205"/>
    <x v="0"/>
    <s v="OFF-BI-10001679"/>
    <x v="1"/>
    <x v="8"/>
    <x v="214"/>
    <n v="18.648"/>
    <n v="7"/>
    <x v="6"/>
    <x v="228"/>
    <s v="Valid"/>
    <n v="267.07"/>
    <n v="656.2656164"/>
    <s v="Normal"/>
    <n v="4"/>
    <n v="-0.66666666666666674"/>
    <n v="5.5944000000000011"/>
  </r>
  <r>
    <n v="232"/>
    <s v="US-2017-100930"/>
    <x v="104"/>
    <d v="2017-04-12T00:00:00"/>
    <x v="1"/>
    <s v="CS-12400"/>
    <s v="Christopher Schild"/>
    <x v="2"/>
    <s v="United States"/>
    <s v="Tampa"/>
    <s v="Florida"/>
    <n v="33614"/>
    <x v="0"/>
    <s v="FUR-TA-10001705"/>
    <x v="0"/>
    <x v="3"/>
    <x v="215"/>
    <n v="233.86"/>
    <n v="2"/>
    <x v="1"/>
    <x v="229"/>
    <s v="Valid"/>
    <n v="267.07"/>
    <n v="656.2656164"/>
    <s v="Normal"/>
    <n v="5"/>
    <n v="-0.43636363636363634"/>
    <n v="128.62300000000002"/>
  </r>
  <r>
    <n v="233"/>
    <s v="US-2017-100930"/>
    <x v="104"/>
    <d v="2017-04-12T00:00:00"/>
    <x v="1"/>
    <s v="CS-12400"/>
    <s v="Christopher Schild"/>
    <x v="2"/>
    <s v="United States"/>
    <s v="Tampa"/>
    <s v="Florida"/>
    <n v="33614"/>
    <x v="0"/>
    <s v="FUR-TA-10003473"/>
    <x v="0"/>
    <x v="3"/>
    <x v="216"/>
    <n v="620.61450000000002"/>
    <n v="3"/>
    <x v="1"/>
    <x v="230"/>
    <s v="Valid"/>
    <n v="267.07"/>
    <n v="656.2656164"/>
    <s v="Normal"/>
    <n v="5"/>
    <n v="-0.39999999999999997"/>
    <n v="341.33797500000003"/>
  </r>
  <r>
    <n v="234"/>
    <s v="US-2017-100930"/>
    <x v="104"/>
    <d v="2017-04-12T00:00:00"/>
    <x v="1"/>
    <s v="CS-12400"/>
    <s v="Christopher Schild"/>
    <x v="2"/>
    <s v="United States"/>
    <s v="Tampa"/>
    <s v="Florida"/>
    <n v="33614"/>
    <x v="0"/>
    <s v="OFF-BI-10001679"/>
    <x v="1"/>
    <x v="8"/>
    <x v="214"/>
    <n v="5.3280000000000003"/>
    <n v="2"/>
    <x v="6"/>
    <x v="231"/>
    <s v="Valid"/>
    <n v="267.07"/>
    <n v="656.2656164"/>
    <s v="Normal"/>
    <n v="5"/>
    <n v="-0.66666666666666663"/>
    <n v="1.5984000000000003"/>
  </r>
  <r>
    <n v="235"/>
    <s v="US-2017-100930"/>
    <x v="104"/>
    <d v="2017-04-12T00:00:00"/>
    <x v="1"/>
    <s v="CS-12400"/>
    <s v="Christopher Schild"/>
    <x v="2"/>
    <s v="United States"/>
    <s v="Tampa"/>
    <s v="Florida"/>
    <n v="33614"/>
    <x v="0"/>
    <s v="FUR-FU-10004017"/>
    <x v="0"/>
    <x v="5"/>
    <x v="217"/>
    <n v="258.072"/>
    <n v="3"/>
    <x v="2"/>
    <x v="232"/>
    <s v="Valid"/>
    <n v="267.07"/>
    <n v="656.2656164"/>
    <s v="Normal"/>
    <n v="5"/>
    <n v="0"/>
    <n v="206.45760000000001"/>
  </r>
  <r>
    <n v="236"/>
    <s v="US-2017-100930"/>
    <x v="104"/>
    <d v="2017-04-12T00:00:00"/>
    <x v="1"/>
    <s v="CS-12400"/>
    <s v="Christopher Schild"/>
    <x v="2"/>
    <s v="United States"/>
    <s v="Tampa"/>
    <s v="Florida"/>
    <n v="33614"/>
    <x v="0"/>
    <s v="TEC-AC-10003832"/>
    <x v="2"/>
    <x v="11"/>
    <x v="218"/>
    <n v="617.976"/>
    <n v="3"/>
    <x v="2"/>
    <x v="233"/>
    <s v="Valid"/>
    <n v="267.07"/>
    <n v="656.2656164"/>
    <s v="Normal"/>
    <n v="5"/>
    <n v="-1.2500000000000001E-2"/>
    <n v="494.38080000000002"/>
  </r>
  <r>
    <n v="237"/>
    <s v="CA-2017-160514"/>
    <x v="105"/>
    <d v="2017-11-16T00:00:00"/>
    <x v="1"/>
    <s v="DB-13120"/>
    <s v="David Bremer"/>
    <x v="1"/>
    <s v="United States"/>
    <s v="Santa Clara"/>
    <s v="California"/>
    <n v="95051"/>
    <x v="1"/>
    <s v="OFF-PA-10002479"/>
    <x v="1"/>
    <x v="10"/>
    <x v="219"/>
    <n v="10.56"/>
    <n v="2"/>
    <x v="0"/>
    <x v="234"/>
    <s v="Valid"/>
    <n v="267.07"/>
    <n v="656.2656164"/>
    <s v="Normal"/>
    <n v="4"/>
    <n v="0.44999999999999996"/>
    <n v="10.56"/>
  </r>
  <r>
    <n v="238"/>
    <s v="CA-2016-157749"/>
    <x v="30"/>
    <d v="2016-06-09T00:00:00"/>
    <x v="0"/>
    <s v="KL-16645"/>
    <s v="Ken Lonsdale"/>
    <x v="0"/>
    <s v="United States"/>
    <s v="Chicago"/>
    <s v="Illinois"/>
    <n v="60610"/>
    <x v="2"/>
    <s v="OFF-PA-10003349"/>
    <x v="1"/>
    <x v="10"/>
    <x v="220"/>
    <n v="25.92"/>
    <n v="5"/>
    <x v="2"/>
    <x v="235"/>
    <s v="Valid"/>
    <n v="267.07"/>
    <n v="656.2656164"/>
    <s v="Normal"/>
    <n v="5"/>
    <n v="0.36249999999999999"/>
    <n v="20.736000000000004"/>
  </r>
  <r>
    <n v="239"/>
    <s v="CA-2016-157749"/>
    <x v="30"/>
    <d v="2016-06-09T00:00:00"/>
    <x v="0"/>
    <s v="KL-16645"/>
    <s v="Ken Lonsdale"/>
    <x v="0"/>
    <s v="United States"/>
    <s v="Chicago"/>
    <s v="Illinois"/>
    <n v="60610"/>
    <x v="2"/>
    <s v="FUR-FU-10000576"/>
    <x v="0"/>
    <x v="5"/>
    <x v="221"/>
    <n v="419.68"/>
    <n v="5"/>
    <x v="7"/>
    <x v="236"/>
    <s v="Valid"/>
    <n v="267.07"/>
    <n v="656.2656164"/>
    <s v="Normal"/>
    <n v="5"/>
    <n v="-0.85"/>
    <n v="167.87200000000001"/>
  </r>
  <r>
    <n v="240"/>
    <s v="CA-2016-157749"/>
    <x v="30"/>
    <d v="2016-06-09T00:00:00"/>
    <x v="0"/>
    <s v="KL-16645"/>
    <s v="Ken Lonsdale"/>
    <x v="0"/>
    <s v="United States"/>
    <s v="Chicago"/>
    <s v="Illinois"/>
    <n v="60610"/>
    <x v="2"/>
    <s v="FUR-FU-10004351"/>
    <x v="0"/>
    <x v="5"/>
    <x v="222"/>
    <n v="11.688000000000001"/>
    <n v="3"/>
    <x v="7"/>
    <x v="237"/>
    <s v="Valid"/>
    <n v="267.07"/>
    <n v="656.2656164"/>
    <s v="Normal"/>
    <n v="5"/>
    <n v="-0.4"/>
    <n v="4.6752000000000002"/>
  </r>
  <r>
    <n v="241"/>
    <s v="CA-2016-157749"/>
    <x v="30"/>
    <d v="2016-06-09T00:00:00"/>
    <x v="0"/>
    <s v="KL-16645"/>
    <s v="Ken Lonsdale"/>
    <x v="0"/>
    <s v="United States"/>
    <s v="Chicago"/>
    <s v="Illinois"/>
    <n v="60610"/>
    <x v="2"/>
    <s v="TEC-PH-10000011"/>
    <x v="2"/>
    <x v="7"/>
    <x v="223"/>
    <n v="31.984000000000002"/>
    <n v="2"/>
    <x v="2"/>
    <x v="238"/>
    <s v="Valid"/>
    <n v="267.07"/>
    <n v="656.2656164"/>
    <s v="Normal"/>
    <n v="5"/>
    <n v="0.35"/>
    <n v="25.587200000000003"/>
  </r>
  <r>
    <n v="242"/>
    <s v="CA-2016-157749"/>
    <x v="30"/>
    <d v="2016-06-09T00:00:00"/>
    <x v="0"/>
    <s v="KL-16645"/>
    <s v="Ken Lonsdale"/>
    <x v="0"/>
    <s v="United States"/>
    <s v="Chicago"/>
    <s v="Illinois"/>
    <n v="60610"/>
    <x v="2"/>
    <s v="FUR-TA-10002607"/>
    <x v="0"/>
    <x v="3"/>
    <x v="224"/>
    <n v="177.22499999999999"/>
    <n v="5"/>
    <x v="5"/>
    <x v="239"/>
    <s v="Valid"/>
    <n v="267.07"/>
    <n v="656.2656164"/>
    <s v="Normal"/>
    <n v="5"/>
    <n v="-0.68"/>
    <n v="88.612499999999997"/>
  </r>
  <r>
    <n v="243"/>
    <s v="CA-2016-157749"/>
    <x v="30"/>
    <d v="2016-06-09T00:00:00"/>
    <x v="0"/>
    <s v="KL-16645"/>
    <s v="Ken Lonsdale"/>
    <x v="0"/>
    <s v="United States"/>
    <s v="Chicago"/>
    <s v="Illinois"/>
    <n v="60610"/>
    <x v="2"/>
    <s v="FUR-FU-10002505"/>
    <x v="0"/>
    <x v="5"/>
    <x v="225"/>
    <n v="4.0439999999999996"/>
    <n v="3"/>
    <x v="7"/>
    <x v="240"/>
    <s v="Valid"/>
    <n v="267.07"/>
    <n v="656.2656164"/>
    <s v="Normal"/>
    <n v="5"/>
    <n v="-0.70000000000000007"/>
    <n v="1.6175999999999999"/>
  </r>
  <r>
    <n v="244"/>
    <s v="CA-2016-157749"/>
    <x v="30"/>
    <d v="2016-06-09T00:00:00"/>
    <x v="0"/>
    <s v="KL-16645"/>
    <s v="Ken Lonsdale"/>
    <x v="0"/>
    <s v="United States"/>
    <s v="Chicago"/>
    <s v="Illinois"/>
    <n v="60610"/>
    <x v="2"/>
    <s v="OFF-AR-10004685"/>
    <x v="1"/>
    <x v="6"/>
    <x v="183"/>
    <n v="7.4080000000000004"/>
    <n v="2"/>
    <x v="2"/>
    <x v="193"/>
    <s v="Valid"/>
    <n v="267.07"/>
    <n v="656.2656164"/>
    <s v="Normal"/>
    <n v="5"/>
    <n v="0.16249999999999998"/>
    <n v="5.926400000000001"/>
  </r>
  <r>
    <n v="245"/>
    <s v="CA-2014-131926"/>
    <x v="106"/>
    <d v="2014-06-06T00:00:00"/>
    <x v="0"/>
    <s v="DW-13480"/>
    <s v="Dianna Wilson"/>
    <x v="2"/>
    <s v="United States"/>
    <s v="Lakeville"/>
    <s v="Minnesota"/>
    <n v="55044"/>
    <x v="2"/>
    <s v="FUR-CH-10004063"/>
    <x v="0"/>
    <x v="1"/>
    <x v="120"/>
    <n v="2001.86"/>
    <n v="7"/>
    <x v="0"/>
    <x v="241"/>
    <s v="Valid"/>
    <n v="267.07"/>
    <n v="656.2656164"/>
    <s v="Normal"/>
    <n v="5"/>
    <n v="0.29000000000000004"/>
    <n v="2001.86"/>
  </r>
  <r>
    <n v="246"/>
    <s v="CA-2014-131926"/>
    <x v="106"/>
    <d v="2014-06-06T00:00:00"/>
    <x v="0"/>
    <s v="DW-13480"/>
    <s v="Dianna Wilson"/>
    <x v="2"/>
    <s v="United States"/>
    <s v="Lakeville"/>
    <s v="Minnesota"/>
    <n v="55044"/>
    <x v="2"/>
    <s v="OFF-ST-10002276"/>
    <x v="1"/>
    <x v="4"/>
    <x v="226"/>
    <n v="166.72"/>
    <n v="2"/>
    <x v="0"/>
    <x v="242"/>
    <s v="Valid"/>
    <n v="267.07"/>
    <n v="656.2656164"/>
    <s v="Normal"/>
    <n v="5"/>
    <n v="0.25"/>
    <n v="166.72"/>
  </r>
  <r>
    <n v="247"/>
    <s v="CA-2014-131926"/>
    <x v="106"/>
    <d v="2014-06-06T00:00:00"/>
    <x v="0"/>
    <s v="DW-13480"/>
    <s v="Dianna Wilson"/>
    <x v="2"/>
    <s v="United States"/>
    <s v="Lakeville"/>
    <s v="Minnesota"/>
    <n v="55044"/>
    <x v="2"/>
    <s v="OFF-PA-10004082"/>
    <x v="1"/>
    <x v="10"/>
    <x v="227"/>
    <n v="47.88"/>
    <n v="6"/>
    <x v="0"/>
    <x v="243"/>
    <s v="Valid"/>
    <n v="267.07"/>
    <n v="656.2656164"/>
    <s v="Normal"/>
    <n v="5"/>
    <n v="0.5"/>
    <n v="47.88"/>
  </r>
  <r>
    <n v="248"/>
    <s v="CA-2014-131926"/>
    <x v="106"/>
    <d v="2014-06-06T00:00:00"/>
    <x v="0"/>
    <s v="DW-13480"/>
    <s v="Dianna Wilson"/>
    <x v="2"/>
    <s v="United States"/>
    <s v="Lakeville"/>
    <s v="Minnesota"/>
    <n v="55044"/>
    <x v="2"/>
    <s v="OFF-AP-10002945"/>
    <x v="1"/>
    <x v="9"/>
    <x v="228"/>
    <n v="1503.25"/>
    <n v="5"/>
    <x v="0"/>
    <x v="244"/>
    <s v="Valid"/>
    <n v="267.07"/>
    <n v="656.2656164"/>
    <s v="Normal"/>
    <n v="5"/>
    <n v="0.33"/>
    <n v="1503.25"/>
  </r>
  <r>
    <n v="249"/>
    <s v="CA-2014-131926"/>
    <x v="106"/>
    <d v="2014-06-06T00:00:00"/>
    <x v="0"/>
    <s v="DW-13480"/>
    <s v="Dianna Wilson"/>
    <x v="2"/>
    <s v="United States"/>
    <s v="Lakeville"/>
    <s v="Minnesota"/>
    <n v="55044"/>
    <x v="2"/>
    <s v="OFF-PA-10000061"/>
    <x v="1"/>
    <x v="10"/>
    <x v="181"/>
    <n v="25.92"/>
    <n v="4"/>
    <x v="0"/>
    <x v="245"/>
    <s v="Valid"/>
    <n v="267.07"/>
    <n v="656.2656164"/>
    <s v="Normal"/>
    <n v="5"/>
    <n v="0.47999999999999993"/>
    <n v="25.92"/>
  </r>
  <r>
    <n v="250"/>
    <s v="CA-2016-154739"/>
    <x v="107"/>
    <d v="2016-12-15T00:00:00"/>
    <x v="0"/>
    <s v="LH-17155"/>
    <s v="Logan Haushalter"/>
    <x v="0"/>
    <s v="United States"/>
    <s v="San Francisco"/>
    <s v="California"/>
    <n v="94109"/>
    <x v="1"/>
    <s v="FUR-CH-10002965"/>
    <x v="0"/>
    <x v="1"/>
    <x v="229"/>
    <n v="321.56799999999998"/>
    <n v="2"/>
    <x v="2"/>
    <x v="246"/>
    <s v="Valid"/>
    <n v="267.07"/>
    <n v="656.2656164"/>
    <s v="Normal"/>
    <n v="5"/>
    <n v="8.7500000000000008E-2"/>
    <n v="257.25439999999998"/>
  </r>
  <r>
    <n v="251"/>
    <s v="CA-2016-145625"/>
    <x v="108"/>
    <d v="2016-09-17T00:00:00"/>
    <x v="1"/>
    <s v="KC-16540"/>
    <s v="Kelly Collister"/>
    <x v="0"/>
    <s v="United States"/>
    <s v="San Diego"/>
    <s v="California"/>
    <n v="92037"/>
    <x v="1"/>
    <s v="OFF-PA-10004569"/>
    <x v="1"/>
    <x v="10"/>
    <x v="230"/>
    <n v="7.61"/>
    <n v="1"/>
    <x v="0"/>
    <x v="247"/>
    <s v="Valid"/>
    <n v="267.07"/>
    <n v="656.2656164"/>
    <s v="Normal"/>
    <n v="6"/>
    <n v="0.47000000000000003"/>
    <n v="7.61"/>
  </r>
  <r>
    <n v="252"/>
    <s v="CA-2016-145625"/>
    <x v="108"/>
    <d v="2016-09-17T00:00:00"/>
    <x v="1"/>
    <s v="KC-16540"/>
    <s v="Kelly Collister"/>
    <x v="0"/>
    <s v="United States"/>
    <s v="San Diego"/>
    <s v="California"/>
    <n v="92037"/>
    <x v="1"/>
    <s v="TEC-AC-10003832"/>
    <x v="2"/>
    <x v="11"/>
    <x v="218"/>
    <n v="3347.37"/>
    <n v="13"/>
    <x v="0"/>
    <x v="248"/>
    <s v="Valid"/>
    <n v="267.07"/>
    <n v="656.2656164"/>
    <s v="High Outlier"/>
    <n v="6"/>
    <n v="0.19000000000000003"/>
    <n v="3347.37"/>
  </r>
  <r>
    <n v="253"/>
    <s v="CA-2016-146941"/>
    <x v="107"/>
    <d v="2016-12-13T00:00:00"/>
    <x v="2"/>
    <s v="DL-13315"/>
    <s v="Delfina Latchford"/>
    <x v="0"/>
    <s v="United States"/>
    <s v="New York City"/>
    <s v="New York"/>
    <n v="10024"/>
    <x v="3"/>
    <s v="OFF-ST-10001228"/>
    <x v="1"/>
    <x v="4"/>
    <x v="231"/>
    <n v="80.58"/>
    <n v="6"/>
    <x v="0"/>
    <x v="249"/>
    <s v="Valid"/>
    <n v="267.07"/>
    <n v="656.2656164"/>
    <s v="Normal"/>
    <n v="3"/>
    <n v="0.28000000000000003"/>
    <n v="80.58"/>
  </r>
  <r>
    <n v="254"/>
    <s v="CA-2016-146941"/>
    <x v="107"/>
    <d v="2016-12-13T00:00:00"/>
    <x v="2"/>
    <s v="DL-13315"/>
    <s v="Delfina Latchford"/>
    <x v="0"/>
    <s v="United States"/>
    <s v="New York City"/>
    <s v="New York"/>
    <n v="10024"/>
    <x v="3"/>
    <s v="OFF-EN-10003296"/>
    <x v="1"/>
    <x v="12"/>
    <x v="232"/>
    <n v="361.92"/>
    <n v="4"/>
    <x v="0"/>
    <x v="250"/>
    <s v="Valid"/>
    <n v="267.07"/>
    <n v="656.2656164"/>
    <s v="Normal"/>
    <n v="3"/>
    <n v="0.45"/>
    <n v="361.92"/>
  </r>
  <r>
    <n v="255"/>
    <s v="US-2015-159982"/>
    <x v="109"/>
    <d v="2015-12-04T00:00:00"/>
    <x v="1"/>
    <s v="DR-12880"/>
    <s v="Dan Reichenbach"/>
    <x v="1"/>
    <s v="United States"/>
    <s v="Chicago"/>
    <s v="Illinois"/>
    <n v="60623"/>
    <x v="2"/>
    <s v="FUR-FU-10002505"/>
    <x v="0"/>
    <x v="5"/>
    <x v="225"/>
    <n v="12.132"/>
    <n v="9"/>
    <x v="7"/>
    <x v="251"/>
    <s v="Valid"/>
    <n v="267.07"/>
    <n v="656.2656164"/>
    <s v="Normal"/>
    <n v="6"/>
    <n v="-0.70000000000000007"/>
    <n v="4.8528000000000002"/>
  </r>
  <r>
    <n v="256"/>
    <s v="US-2015-159982"/>
    <x v="109"/>
    <d v="2015-12-04T00:00:00"/>
    <x v="1"/>
    <s v="DR-12880"/>
    <s v="Dan Reichenbach"/>
    <x v="1"/>
    <s v="United States"/>
    <s v="Chicago"/>
    <s v="Illinois"/>
    <n v="60623"/>
    <x v="2"/>
    <s v="OFF-ST-10004804"/>
    <x v="1"/>
    <x v="4"/>
    <x v="233"/>
    <n v="82.367999999999995"/>
    <n v="2"/>
    <x v="2"/>
    <x v="252"/>
    <s v="Valid"/>
    <n v="267.07"/>
    <n v="656.2656164"/>
    <s v="Normal"/>
    <n v="6"/>
    <n v="-0.23750000000000002"/>
    <n v="65.894400000000005"/>
  </r>
  <r>
    <n v="257"/>
    <s v="US-2015-159982"/>
    <x v="109"/>
    <d v="2015-12-04T00:00:00"/>
    <x v="1"/>
    <s v="DR-12880"/>
    <s v="Dan Reichenbach"/>
    <x v="1"/>
    <s v="United States"/>
    <s v="Chicago"/>
    <s v="Illinois"/>
    <n v="60623"/>
    <x v="2"/>
    <s v="OFF-ST-10001590"/>
    <x v="1"/>
    <x v="4"/>
    <x v="147"/>
    <n v="53.92"/>
    <n v="5"/>
    <x v="2"/>
    <x v="253"/>
    <s v="Valid"/>
    <n v="267.07"/>
    <n v="656.2656164"/>
    <s v="Normal"/>
    <n v="6"/>
    <n v="7.4999999999999983E-2"/>
    <n v="43.136000000000003"/>
  </r>
  <r>
    <n v="258"/>
    <s v="US-2015-159982"/>
    <x v="109"/>
    <d v="2015-12-04T00:00:00"/>
    <x v="1"/>
    <s v="DR-12880"/>
    <s v="Dan Reichenbach"/>
    <x v="1"/>
    <s v="United States"/>
    <s v="Chicago"/>
    <s v="Illinois"/>
    <n v="60623"/>
    <x v="2"/>
    <s v="TEC-PH-10001580"/>
    <x v="2"/>
    <x v="7"/>
    <x v="234"/>
    <n v="647.904"/>
    <n v="6"/>
    <x v="2"/>
    <x v="254"/>
    <s v="Valid"/>
    <n v="267.07"/>
    <n v="656.2656164"/>
    <s v="Normal"/>
    <n v="6"/>
    <n v="8.7500000000000008E-2"/>
    <n v="518.32320000000004"/>
  </r>
  <r>
    <n v="259"/>
    <s v="CA-2017-163139"/>
    <x v="96"/>
    <d v="2017-12-03T00:00:00"/>
    <x v="0"/>
    <s v="CC-12670"/>
    <s v="Craig Carreira"/>
    <x v="0"/>
    <s v="United States"/>
    <s v="New York City"/>
    <s v="New York"/>
    <n v="10009"/>
    <x v="3"/>
    <s v="TEC-AC-10000290"/>
    <x v="2"/>
    <x v="11"/>
    <x v="235"/>
    <n v="20.37"/>
    <n v="3"/>
    <x v="0"/>
    <x v="255"/>
    <s v="Valid"/>
    <n v="267.07"/>
    <n v="656.2656164"/>
    <s v="Normal"/>
    <n v="2"/>
    <n v="0.33999999999999997"/>
    <n v="20.37"/>
  </r>
  <r>
    <n v="260"/>
    <s v="CA-2017-163139"/>
    <x v="96"/>
    <d v="2017-12-03T00:00:00"/>
    <x v="0"/>
    <s v="CC-12670"/>
    <s v="Craig Carreira"/>
    <x v="0"/>
    <s v="United States"/>
    <s v="New York City"/>
    <s v="New York"/>
    <n v="10009"/>
    <x v="3"/>
    <s v="OFF-ST-10002790"/>
    <x v="1"/>
    <x v="4"/>
    <x v="236"/>
    <n v="221.55"/>
    <n v="3"/>
    <x v="0"/>
    <x v="256"/>
    <s v="Valid"/>
    <n v="267.07"/>
    <n v="656.2656164"/>
    <s v="Normal"/>
    <n v="2"/>
    <n v="2.9999999999999995E-2"/>
    <n v="221.55"/>
  </r>
  <r>
    <n v="261"/>
    <s v="CA-2017-163139"/>
    <x v="96"/>
    <d v="2017-12-03T00:00:00"/>
    <x v="0"/>
    <s v="CC-12670"/>
    <s v="Craig Carreira"/>
    <x v="0"/>
    <s v="United States"/>
    <s v="New York City"/>
    <s v="New York"/>
    <n v="10009"/>
    <x v="3"/>
    <s v="OFF-BI-10003460"/>
    <x v="1"/>
    <x v="8"/>
    <x v="237"/>
    <n v="17.52"/>
    <n v="5"/>
    <x v="2"/>
    <x v="257"/>
    <s v="Valid"/>
    <n v="267.07"/>
    <n v="656.2656164"/>
    <s v="Normal"/>
    <n v="2"/>
    <n v="0.35"/>
    <n v="14.016"/>
  </r>
  <r>
    <n v="262"/>
    <s v="US-2017-155299"/>
    <x v="110"/>
    <d v="2017-06-12T00:00:00"/>
    <x v="1"/>
    <s v="Dl-13600"/>
    <s v="Dorris liebe"/>
    <x v="1"/>
    <s v="United States"/>
    <s v="Pasadena"/>
    <s v="Texas"/>
    <n v="77506"/>
    <x v="2"/>
    <s v="OFF-AP-10002203"/>
    <x v="1"/>
    <x v="9"/>
    <x v="238"/>
    <n v="1.6240000000000001"/>
    <n v="2"/>
    <x v="3"/>
    <x v="258"/>
    <s v="Valid"/>
    <n v="267.07"/>
    <n v="656.2656164"/>
    <s v="Normal"/>
    <n v="4"/>
    <n v="-2.75"/>
    <n v="0.32479999999999998"/>
  </r>
  <r>
    <n v="263"/>
    <s v="US-2014-106992"/>
    <x v="111"/>
    <d v="2014-09-21T00:00:00"/>
    <x v="0"/>
    <s v="SB-20290"/>
    <s v="Sean Braxton"/>
    <x v="1"/>
    <s v="United States"/>
    <s v="Houston"/>
    <s v="Texas"/>
    <n v="77036"/>
    <x v="2"/>
    <s v="TEC-MA-10000822"/>
    <x v="2"/>
    <x v="15"/>
    <x v="156"/>
    <n v="3059.982"/>
    <n v="3"/>
    <x v="10"/>
    <x v="259"/>
    <s v="Valid"/>
    <n v="267.07"/>
    <n v="656.2656164"/>
    <s v="High Outlier"/>
    <n v="2"/>
    <n v="-0.16666666666666669"/>
    <n v="1835.9892"/>
  </r>
  <r>
    <n v="264"/>
    <s v="US-2014-106992"/>
    <x v="111"/>
    <d v="2014-09-21T00:00:00"/>
    <x v="0"/>
    <s v="SB-20290"/>
    <s v="Sean Braxton"/>
    <x v="1"/>
    <s v="United States"/>
    <s v="Houston"/>
    <s v="Texas"/>
    <n v="77036"/>
    <x v="2"/>
    <s v="TEC-MA-10003353"/>
    <x v="2"/>
    <x v="15"/>
    <x v="239"/>
    <n v="2519.9580000000001"/>
    <n v="7"/>
    <x v="10"/>
    <x v="260"/>
    <s v="Valid"/>
    <n v="267.07"/>
    <n v="656.2656164"/>
    <s v="High Outlier"/>
    <n v="2"/>
    <n v="-9.9999999999999992E-2"/>
    <n v="1511.9748"/>
  </r>
  <r>
    <n v="265"/>
    <s v="CA-2016-125318"/>
    <x v="112"/>
    <d v="2016-06-13T00:00:00"/>
    <x v="1"/>
    <s v="RC-19825"/>
    <s v="Roy Collins"/>
    <x v="0"/>
    <s v="United States"/>
    <s v="Chicago"/>
    <s v="Illinois"/>
    <n v="60610"/>
    <x v="2"/>
    <s v="TEC-PH-10001433"/>
    <x v="2"/>
    <x v="7"/>
    <x v="240"/>
    <n v="328.22399999999999"/>
    <n v="4"/>
    <x v="2"/>
    <x v="261"/>
    <s v="Valid"/>
    <n v="267.07"/>
    <n v="656.2656164"/>
    <s v="Normal"/>
    <n v="7"/>
    <n v="8.7500000000000008E-2"/>
    <n v="262.57920000000001"/>
  </r>
  <r>
    <n v="266"/>
    <s v="CA-2015-155040"/>
    <x v="113"/>
    <d v="2015-11-15T00:00:00"/>
    <x v="1"/>
    <s v="AH-10210"/>
    <s v="Alan Hwang"/>
    <x v="0"/>
    <s v="United States"/>
    <s v="Brentwood"/>
    <s v="California"/>
    <n v="94513"/>
    <x v="1"/>
    <s v="TEC-AC-10004469"/>
    <x v="2"/>
    <x v="11"/>
    <x v="241"/>
    <n v="79.900000000000006"/>
    <n v="2"/>
    <x v="0"/>
    <x v="262"/>
    <s v="Valid"/>
    <n v="267.07"/>
    <n v="656.2656164"/>
    <s v="Normal"/>
    <n v="5"/>
    <n v="0.43999999999999995"/>
    <n v="79.900000000000006"/>
  </r>
  <r>
    <n v="267"/>
    <s v="CA-2017-136826"/>
    <x v="114"/>
    <d v="2017-06-20T00:00:00"/>
    <x v="1"/>
    <s v="CB-12535"/>
    <s v="Claudia Bergmann"/>
    <x v="1"/>
    <s v="United States"/>
    <s v="Chapel Hill"/>
    <s v="North Carolina"/>
    <n v="27514"/>
    <x v="0"/>
    <s v="OFF-AR-10003602"/>
    <x v="1"/>
    <x v="6"/>
    <x v="242"/>
    <n v="14.016"/>
    <n v="3"/>
    <x v="2"/>
    <x v="263"/>
    <s v="Valid"/>
    <n v="267.07"/>
    <n v="656.2656164"/>
    <s v="Normal"/>
    <n v="4"/>
    <n v="0.33750000000000002"/>
    <n v="11.212800000000001"/>
  </r>
  <r>
    <n v="268"/>
    <s v="CA-2016-111010"/>
    <x v="115"/>
    <d v="2016-01-28T00:00:00"/>
    <x v="1"/>
    <s v="PG-18895"/>
    <s v="Paul Gonzalez"/>
    <x v="0"/>
    <s v="United States"/>
    <s v="Morristown"/>
    <s v="New Jersey"/>
    <n v="7960"/>
    <x v="3"/>
    <s v="OFF-FA-10003472"/>
    <x v="1"/>
    <x v="13"/>
    <x v="243"/>
    <n v="7.56"/>
    <n v="6"/>
    <x v="0"/>
    <x v="264"/>
    <s v="Valid"/>
    <n v="267.07"/>
    <n v="656.2656164"/>
    <s v="Normal"/>
    <n v="6"/>
    <n v="0.04"/>
    <n v="7.56"/>
  </r>
  <r>
    <n v="269"/>
    <s v="US-2017-145366"/>
    <x v="34"/>
    <d v="2017-12-13T00:00:00"/>
    <x v="1"/>
    <s v="CA-12310"/>
    <s v="Christine Abelman"/>
    <x v="1"/>
    <s v="United States"/>
    <s v="Cincinnati"/>
    <s v="Ohio"/>
    <n v="45231"/>
    <x v="3"/>
    <s v="OFF-ST-10004180"/>
    <x v="1"/>
    <x v="4"/>
    <x v="244"/>
    <n v="37.207999999999998"/>
    <n v="1"/>
    <x v="2"/>
    <x v="265"/>
    <s v="Valid"/>
    <n v="267.07"/>
    <n v="656.2656164"/>
    <s v="Normal"/>
    <n v="4"/>
    <n v="-0.2"/>
    <n v="29.766400000000001"/>
  </r>
  <r>
    <n v="270"/>
    <s v="US-2017-145366"/>
    <x v="34"/>
    <d v="2017-12-13T00:00:00"/>
    <x v="1"/>
    <s v="CA-12310"/>
    <s v="Christine Abelman"/>
    <x v="1"/>
    <s v="United States"/>
    <s v="Cincinnati"/>
    <s v="Ohio"/>
    <n v="45231"/>
    <x v="3"/>
    <s v="OFF-EN-10004386"/>
    <x v="1"/>
    <x v="12"/>
    <x v="245"/>
    <n v="57.576000000000001"/>
    <n v="3"/>
    <x v="2"/>
    <x v="266"/>
    <s v="Valid"/>
    <n v="267.07"/>
    <n v="656.2656164"/>
    <s v="Normal"/>
    <n v="4"/>
    <n v="0.375"/>
    <n v="46.0608"/>
  </r>
  <r>
    <n v="271"/>
    <s v="CA-2017-163979"/>
    <x v="116"/>
    <d v="2018-01-02T00:00:00"/>
    <x v="0"/>
    <s v="KH-16690"/>
    <s v="Kristen Hastings"/>
    <x v="1"/>
    <s v="United States"/>
    <s v="San Francisco"/>
    <s v="California"/>
    <n v="94110"/>
    <x v="1"/>
    <s v="OFF-ST-10003208"/>
    <x v="1"/>
    <x v="4"/>
    <x v="246"/>
    <n v="725.84"/>
    <n v="4"/>
    <x v="0"/>
    <x v="267"/>
    <s v="Valid"/>
    <n v="267.07"/>
    <n v="656.2656164"/>
    <s v="Normal"/>
    <n v="5"/>
    <n v="0.28999999999999998"/>
    <n v="725.84"/>
  </r>
  <r>
    <n v="272"/>
    <s v="CA-2015-155334"/>
    <x v="117"/>
    <d v="2015-07-31T00:00:00"/>
    <x v="2"/>
    <s v="HA-14920"/>
    <s v="Helen Andreada"/>
    <x v="0"/>
    <s v="United States"/>
    <s v="San Francisco"/>
    <s v="California"/>
    <n v="94109"/>
    <x v="1"/>
    <s v="TEC-AC-10003628"/>
    <x v="2"/>
    <x v="11"/>
    <x v="247"/>
    <n v="209.93"/>
    <n v="7"/>
    <x v="0"/>
    <x v="268"/>
    <s v="Valid"/>
    <n v="267.07"/>
    <n v="656.2656164"/>
    <s v="Normal"/>
    <n v="1"/>
    <n v="0.44"/>
    <n v="209.93"/>
  </r>
  <r>
    <n v="273"/>
    <s v="CA-2015-155334"/>
    <x v="117"/>
    <d v="2015-07-31T00:00:00"/>
    <x v="2"/>
    <s v="HA-14920"/>
    <s v="Helen Andreada"/>
    <x v="0"/>
    <s v="United States"/>
    <s v="San Francisco"/>
    <s v="California"/>
    <n v="94109"/>
    <x v="1"/>
    <s v="FUR-FU-10003274"/>
    <x v="0"/>
    <x v="5"/>
    <x v="248"/>
    <n v="5.28"/>
    <n v="3"/>
    <x v="0"/>
    <x v="269"/>
    <s v="Valid"/>
    <n v="267.07"/>
    <n v="656.2656164"/>
    <s v="Normal"/>
    <n v="1"/>
    <n v="0.43999999999999995"/>
    <n v="5.28"/>
  </r>
  <r>
    <n v="274"/>
    <s v="CA-2015-155334"/>
    <x v="117"/>
    <d v="2015-07-31T00:00:00"/>
    <x v="2"/>
    <s v="HA-14920"/>
    <s v="Helen Andreada"/>
    <x v="0"/>
    <s v="United States"/>
    <s v="San Francisco"/>
    <s v="California"/>
    <n v="94109"/>
    <x v="1"/>
    <s v="OFF-BI-10002557"/>
    <x v="1"/>
    <x v="8"/>
    <x v="249"/>
    <n v="10.92"/>
    <n v="3"/>
    <x v="2"/>
    <x v="270"/>
    <s v="Valid"/>
    <n v="267.07"/>
    <n v="656.2656164"/>
    <s v="Normal"/>
    <n v="1"/>
    <n v="0.375"/>
    <n v="8.7360000000000007"/>
  </r>
  <r>
    <n v="275"/>
    <s v="CA-2017-118136"/>
    <x v="118"/>
    <d v="2017-09-17T00:00:00"/>
    <x v="2"/>
    <s v="BB-10990"/>
    <s v="Barry Blumstein"/>
    <x v="1"/>
    <s v="United States"/>
    <s v="Inglewood"/>
    <s v="California"/>
    <n v="90301"/>
    <x v="1"/>
    <s v="OFF-PA-10002615"/>
    <x v="1"/>
    <x v="10"/>
    <x v="250"/>
    <n v="8.82"/>
    <n v="2"/>
    <x v="0"/>
    <x v="271"/>
    <s v="Valid"/>
    <n v="267.07"/>
    <n v="656.2656164"/>
    <s v="Normal"/>
    <n v="1"/>
    <n v="0.45999999999999996"/>
    <n v="8.82"/>
  </r>
  <r>
    <n v="276"/>
    <s v="CA-2017-118136"/>
    <x v="118"/>
    <d v="2017-09-17T00:00:00"/>
    <x v="2"/>
    <s v="BB-10990"/>
    <s v="Barry Blumstein"/>
    <x v="1"/>
    <s v="United States"/>
    <s v="Inglewood"/>
    <s v="California"/>
    <n v="90301"/>
    <x v="1"/>
    <s v="OFF-AR-10001427"/>
    <x v="1"/>
    <x v="6"/>
    <x v="251"/>
    <n v="5.98"/>
    <n v="1"/>
    <x v="0"/>
    <x v="272"/>
    <s v="Valid"/>
    <n v="267.07"/>
    <n v="656.2656164"/>
    <s v="Normal"/>
    <n v="1"/>
    <n v="0.25999999999999995"/>
    <n v="5.98"/>
  </r>
  <r>
    <n v="277"/>
    <s v="CA-2017-132976"/>
    <x v="119"/>
    <d v="2017-10-17T00:00:00"/>
    <x v="1"/>
    <s v="AG-10495"/>
    <s v="Andrew Gjertsen"/>
    <x v="1"/>
    <s v="United States"/>
    <s v="Philadelphia"/>
    <s v="Pennsylvania"/>
    <n v="19140"/>
    <x v="3"/>
    <s v="OFF-PA-10000673"/>
    <x v="1"/>
    <x v="10"/>
    <x v="252"/>
    <n v="11.648"/>
    <n v="2"/>
    <x v="2"/>
    <x v="273"/>
    <s v="Valid"/>
    <n v="267.07"/>
    <n v="656.2656164"/>
    <s v="Normal"/>
    <n v="4"/>
    <n v="0.35000000000000003"/>
    <n v="9.3184000000000005"/>
  </r>
  <r>
    <n v="278"/>
    <s v="CA-2017-132976"/>
    <x v="119"/>
    <d v="2017-10-17T00:00:00"/>
    <x v="1"/>
    <s v="AG-10495"/>
    <s v="Andrew Gjertsen"/>
    <x v="1"/>
    <s v="United States"/>
    <s v="Philadelphia"/>
    <s v="Pennsylvania"/>
    <n v="19140"/>
    <x v="3"/>
    <s v="OFF-PA-10004470"/>
    <x v="1"/>
    <x v="10"/>
    <x v="253"/>
    <n v="18.175999999999998"/>
    <n v="4"/>
    <x v="2"/>
    <x v="274"/>
    <s v="Valid"/>
    <n v="267.07"/>
    <n v="656.2656164"/>
    <s v="Normal"/>
    <n v="4"/>
    <n v="0.32500000000000001"/>
    <n v="14.540799999999999"/>
  </r>
  <r>
    <n v="279"/>
    <s v="CA-2017-132976"/>
    <x v="119"/>
    <d v="2017-10-17T00:00:00"/>
    <x v="1"/>
    <s v="AG-10495"/>
    <s v="Andrew Gjertsen"/>
    <x v="1"/>
    <s v="United States"/>
    <s v="Philadelphia"/>
    <s v="Pennsylvania"/>
    <n v="19140"/>
    <x v="3"/>
    <s v="OFF-ST-10000876"/>
    <x v="1"/>
    <x v="4"/>
    <x v="254"/>
    <n v="59.712000000000003"/>
    <n v="6"/>
    <x v="2"/>
    <x v="275"/>
    <s v="Valid"/>
    <n v="267.07"/>
    <n v="656.2656164"/>
    <s v="Normal"/>
    <n v="4"/>
    <n v="9.9999999999999992E-2"/>
    <n v="47.769600000000004"/>
  </r>
  <r>
    <n v="280"/>
    <s v="CA-2017-132976"/>
    <x v="119"/>
    <d v="2017-10-17T00:00:00"/>
    <x v="1"/>
    <s v="AG-10495"/>
    <s v="Andrew Gjertsen"/>
    <x v="1"/>
    <s v="United States"/>
    <s v="Philadelphia"/>
    <s v="Pennsylvania"/>
    <n v="19140"/>
    <x v="3"/>
    <s v="OFF-LA-10002043"/>
    <x v="1"/>
    <x v="2"/>
    <x v="255"/>
    <n v="24.84"/>
    <n v="3"/>
    <x v="2"/>
    <x v="276"/>
    <s v="Valid"/>
    <n v="267.07"/>
    <n v="656.2656164"/>
    <s v="Normal"/>
    <n v="4"/>
    <n v="0.35000000000000003"/>
    <n v="19.872"/>
  </r>
  <r>
    <n v="281"/>
    <s v="US-2015-161991"/>
    <x v="120"/>
    <d v="2015-09-28T00:00:00"/>
    <x v="0"/>
    <s v="SC-20725"/>
    <s v="Steven Cartwright"/>
    <x v="0"/>
    <s v="United States"/>
    <s v="Houston"/>
    <s v="Texas"/>
    <n v="77070"/>
    <x v="2"/>
    <s v="OFF-BI-10004967"/>
    <x v="1"/>
    <x v="8"/>
    <x v="256"/>
    <n v="2.08"/>
    <n v="5"/>
    <x v="3"/>
    <x v="277"/>
    <s v="Valid"/>
    <n v="267.07"/>
    <n v="656.2656164"/>
    <s v="Normal"/>
    <n v="2"/>
    <n v="-1.65"/>
    <n v="0.41599999999999993"/>
  </r>
  <r>
    <n v="282"/>
    <s v="US-2015-161991"/>
    <x v="120"/>
    <d v="2015-09-28T00:00:00"/>
    <x v="0"/>
    <s v="SC-20725"/>
    <s v="Steven Cartwright"/>
    <x v="0"/>
    <s v="United States"/>
    <s v="Houston"/>
    <s v="Texas"/>
    <n v="77070"/>
    <x v="2"/>
    <s v="TEC-PH-10001760"/>
    <x v="2"/>
    <x v="7"/>
    <x v="257"/>
    <n v="1114.4000000000001"/>
    <n v="7"/>
    <x v="2"/>
    <x v="278"/>
    <s v="Valid"/>
    <n v="267.07"/>
    <n v="656.2656164"/>
    <s v="Normal"/>
    <n v="2"/>
    <n v="0.33749999999999997"/>
    <n v="891.5200000000001"/>
  </r>
  <r>
    <n v="283"/>
    <s v="CA-2015-130890"/>
    <x v="121"/>
    <d v="2015-11-06T00:00:00"/>
    <x v="1"/>
    <s v="JO-15280"/>
    <s v="Jas O'Carroll"/>
    <x v="0"/>
    <s v="United States"/>
    <s v="Los Angeles"/>
    <s v="California"/>
    <n v="90004"/>
    <x v="1"/>
    <s v="FUR-TA-10002903"/>
    <x v="0"/>
    <x v="3"/>
    <x v="258"/>
    <n v="1038.8399999999999"/>
    <n v="5"/>
    <x v="2"/>
    <x v="279"/>
    <s v="Valid"/>
    <n v="267.07"/>
    <n v="656.2656164"/>
    <s v="Normal"/>
    <n v="4"/>
    <n v="0.05"/>
    <n v="831.072"/>
  </r>
  <r>
    <n v="284"/>
    <s v="CA-2015-130883"/>
    <x v="120"/>
    <d v="2015-10-02T00:00:00"/>
    <x v="1"/>
    <s v="TB-21520"/>
    <s v="Tracy Blumstein"/>
    <x v="0"/>
    <s v="United States"/>
    <s v="Portland"/>
    <s v="Oregon"/>
    <n v="97206"/>
    <x v="1"/>
    <s v="OFF-PA-10000474"/>
    <x v="1"/>
    <x v="10"/>
    <x v="33"/>
    <n v="141.76"/>
    <n v="5"/>
    <x v="2"/>
    <x v="280"/>
    <s v="Valid"/>
    <n v="267.07"/>
    <n v="656.2656164"/>
    <s v="Normal"/>
    <n v="6"/>
    <n v="0.33750000000000002"/>
    <n v="113.408"/>
  </r>
  <r>
    <n v="285"/>
    <s v="CA-2015-130883"/>
    <x v="120"/>
    <d v="2015-10-02T00:00:00"/>
    <x v="1"/>
    <s v="TB-21520"/>
    <s v="Tracy Blumstein"/>
    <x v="0"/>
    <s v="United States"/>
    <s v="Portland"/>
    <s v="Oregon"/>
    <n v="97206"/>
    <x v="1"/>
    <s v="TEC-AC-10001956"/>
    <x v="2"/>
    <x v="11"/>
    <x v="259"/>
    <n v="239.8"/>
    <n v="5"/>
    <x v="2"/>
    <x v="281"/>
    <s v="Valid"/>
    <n v="267.07"/>
    <n v="656.2656164"/>
    <s v="Normal"/>
    <n v="6"/>
    <n v="0.19999999999999998"/>
    <n v="191.84000000000003"/>
  </r>
  <r>
    <n v="286"/>
    <s v="CA-2015-130883"/>
    <x v="120"/>
    <d v="2015-10-02T00:00:00"/>
    <x v="1"/>
    <s v="TB-21520"/>
    <s v="Tracy Blumstein"/>
    <x v="0"/>
    <s v="United States"/>
    <s v="Portland"/>
    <s v="Oregon"/>
    <n v="97206"/>
    <x v="1"/>
    <s v="OFF-PA-10004100"/>
    <x v="1"/>
    <x v="10"/>
    <x v="260"/>
    <n v="31.103999999999999"/>
    <n v="6"/>
    <x v="2"/>
    <x v="282"/>
    <s v="Valid"/>
    <n v="267.07"/>
    <n v="656.2656164"/>
    <s v="Normal"/>
    <n v="6"/>
    <n v="0.35000000000000003"/>
    <n v="24.883200000000002"/>
  </r>
  <r>
    <n v="287"/>
    <s v="CA-2016-112697"/>
    <x v="122"/>
    <d v="2016-12-20T00:00:00"/>
    <x v="0"/>
    <s v="AH-10195"/>
    <s v="Alan Haines"/>
    <x v="1"/>
    <s v="United States"/>
    <s v="Tamarac"/>
    <s v="Florida"/>
    <n v="33319"/>
    <x v="0"/>
    <s v="OFF-BI-10000778"/>
    <x v="1"/>
    <x v="8"/>
    <x v="261"/>
    <n v="254.05799999999999"/>
    <n v="7"/>
    <x v="6"/>
    <x v="283"/>
    <s v="Valid"/>
    <n v="267.07"/>
    <n v="656.2656164"/>
    <s v="Normal"/>
    <n v="2"/>
    <n v="-0.66666666666666674"/>
    <n v="76.217400000000012"/>
  </r>
  <r>
    <n v="288"/>
    <s v="CA-2016-112697"/>
    <x v="122"/>
    <d v="2016-12-20T00:00:00"/>
    <x v="0"/>
    <s v="AH-10195"/>
    <s v="Alan Haines"/>
    <x v="1"/>
    <s v="United States"/>
    <s v="Tamarac"/>
    <s v="Florida"/>
    <n v="33319"/>
    <x v="0"/>
    <s v="OFF-AP-10002684"/>
    <x v="1"/>
    <x v="9"/>
    <x v="167"/>
    <n v="194.52799999999999"/>
    <n v="2"/>
    <x v="2"/>
    <x v="284"/>
    <s v="Valid"/>
    <n v="267.07"/>
    <n v="656.2656164"/>
    <s v="Normal"/>
    <n v="2"/>
    <n v="0.125"/>
    <n v="155.6224"/>
  </r>
  <r>
    <n v="289"/>
    <s v="CA-2016-112697"/>
    <x v="122"/>
    <d v="2016-12-20T00:00:00"/>
    <x v="0"/>
    <s v="AH-10195"/>
    <s v="Alan Haines"/>
    <x v="1"/>
    <s v="United States"/>
    <s v="Tamarac"/>
    <s v="Florida"/>
    <n v="33319"/>
    <x v="0"/>
    <s v="OFF-SU-10000646"/>
    <x v="1"/>
    <x v="14"/>
    <x v="262"/>
    <n v="961.48"/>
    <n v="5"/>
    <x v="2"/>
    <x v="285"/>
    <s v="Valid"/>
    <n v="267.07"/>
    <n v="656.2656164"/>
    <s v="Normal"/>
    <n v="2"/>
    <n v="-0.21249999999999999"/>
    <n v="769.18400000000008"/>
  </r>
  <r>
    <n v="290"/>
    <s v="CA-2016-110772"/>
    <x v="73"/>
    <d v="2016-11-24T00:00:00"/>
    <x v="0"/>
    <s v="NZ-18565"/>
    <s v="Nick Zandusky"/>
    <x v="2"/>
    <s v="United States"/>
    <s v="Columbus"/>
    <s v="Ohio"/>
    <n v="43229"/>
    <x v="3"/>
    <s v="OFF-FA-10002983"/>
    <x v="1"/>
    <x v="13"/>
    <x v="263"/>
    <n v="19.096"/>
    <n v="7"/>
    <x v="2"/>
    <x v="286"/>
    <s v="Valid"/>
    <n v="267.07"/>
    <n v="656.2656164"/>
    <s v="Normal"/>
    <n v="4"/>
    <n v="0.35000000000000003"/>
    <n v="15.276800000000001"/>
  </r>
  <r>
    <n v="291"/>
    <s v="CA-2016-110772"/>
    <x v="73"/>
    <d v="2016-11-24T00:00:00"/>
    <x v="0"/>
    <s v="NZ-18565"/>
    <s v="Nick Zandusky"/>
    <x v="2"/>
    <s v="United States"/>
    <s v="Columbus"/>
    <s v="Ohio"/>
    <n v="43229"/>
    <x v="3"/>
    <s v="OFF-LA-10004689"/>
    <x v="1"/>
    <x v="2"/>
    <x v="264"/>
    <n v="18.495999999999999"/>
    <n v="8"/>
    <x v="2"/>
    <x v="287"/>
    <s v="Valid"/>
    <n v="267.07"/>
    <n v="656.2656164"/>
    <s v="Normal"/>
    <n v="4"/>
    <n v="0.33750000000000002"/>
    <n v="14.796799999999999"/>
  </r>
  <r>
    <n v="292"/>
    <s v="CA-2016-110772"/>
    <x v="73"/>
    <d v="2016-11-24T00:00:00"/>
    <x v="0"/>
    <s v="NZ-18565"/>
    <s v="Nick Zandusky"/>
    <x v="2"/>
    <s v="United States"/>
    <s v="Columbus"/>
    <s v="Ohio"/>
    <n v="43229"/>
    <x v="3"/>
    <s v="TEC-AC-10002001"/>
    <x v="2"/>
    <x v="11"/>
    <x v="265"/>
    <n v="255.98400000000001"/>
    <n v="2"/>
    <x v="2"/>
    <x v="288"/>
    <s v="Valid"/>
    <n v="267.07"/>
    <n v="656.2656164"/>
    <s v="Normal"/>
    <n v="4"/>
    <n v="0.21249999999999999"/>
    <n v="204.78720000000001"/>
  </r>
  <r>
    <n v="293"/>
    <s v="CA-2016-110772"/>
    <x v="73"/>
    <d v="2016-11-24T00:00:00"/>
    <x v="0"/>
    <s v="NZ-18565"/>
    <s v="Nick Zandusky"/>
    <x v="2"/>
    <s v="United States"/>
    <s v="Columbus"/>
    <s v="Ohio"/>
    <n v="43229"/>
    <x v="3"/>
    <s v="FUR-BO-10004709"/>
    <x v="0"/>
    <x v="0"/>
    <x v="266"/>
    <n v="86.97"/>
    <n v="3"/>
    <x v="5"/>
    <x v="289"/>
    <s v="Valid"/>
    <n v="267.07"/>
    <n v="656.2656164"/>
    <s v="Normal"/>
    <n v="4"/>
    <n v="-0.56000000000000005"/>
    <n v="43.484999999999999"/>
  </r>
  <r>
    <n v="294"/>
    <s v="CA-2014-111451"/>
    <x v="58"/>
    <d v="2014-12-28T00:00:00"/>
    <x v="2"/>
    <s v="KL-16555"/>
    <s v="Kelly Lampkin"/>
    <x v="1"/>
    <s v="United States"/>
    <s v="Colorado Springs"/>
    <s v="Colorado"/>
    <n v="80906"/>
    <x v="1"/>
    <s v="FUR-FU-10004091"/>
    <x v="0"/>
    <x v="5"/>
    <x v="267"/>
    <n v="300.416"/>
    <n v="8"/>
    <x v="2"/>
    <x v="290"/>
    <s v="Valid"/>
    <n v="267.07"/>
    <n v="656.2656164"/>
    <s v="Normal"/>
    <n v="2"/>
    <n v="0.26250000000000001"/>
    <n v="240.33280000000002"/>
  </r>
  <r>
    <n v="295"/>
    <s v="CA-2014-111451"/>
    <x v="58"/>
    <d v="2014-12-28T00:00:00"/>
    <x v="2"/>
    <s v="KL-16555"/>
    <s v="Kelly Lampkin"/>
    <x v="1"/>
    <s v="United States"/>
    <s v="Colorado Springs"/>
    <s v="Colorado"/>
    <n v="80906"/>
    <x v="1"/>
    <s v="FUR-CH-10001891"/>
    <x v="0"/>
    <x v="1"/>
    <x v="268"/>
    <n v="230.352"/>
    <n v="3"/>
    <x v="2"/>
    <x v="291"/>
    <s v="Valid"/>
    <n v="267.07"/>
    <n v="656.2656164"/>
    <s v="Normal"/>
    <n v="2"/>
    <n v="8.7499999999999994E-2"/>
    <n v="184.28160000000003"/>
  </r>
  <r>
    <n v="296"/>
    <s v="CA-2014-111451"/>
    <x v="58"/>
    <d v="2014-12-28T00:00:00"/>
    <x v="2"/>
    <s v="KL-16555"/>
    <s v="Kelly Lampkin"/>
    <x v="1"/>
    <s v="United States"/>
    <s v="Colorado Springs"/>
    <s v="Colorado"/>
    <n v="80906"/>
    <x v="1"/>
    <s v="FUR-FU-10002918"/>
    <x v="0"/>
    <x v="5"/>
    <x v="269"/>
    <n v="218.352"/>
    <n v="3"/>
    <x v="2"/>
    <x v="292"/>
    <s v="Valid"/>
    <n v="267.07"/>
    <n v="656.2656164"/>
    <s v="Normal"/>
    <n v="2"/>
    <n v="-0.11249999999999999"/>
    <n v="174.6816"/>
  </r>
  <r>
    <n v="297"/>
    <s v="CA-2014-111451"/>
    <x v="58"/>
    <d v="2014-12-28T00:00:00"/>
    <x v="2"/>
    <s v="KL-16555"/>
    <s v="Kelly Lampkin"/>
    <x v="1"/>
    <s v="United States"/>
    <s v="Colorado Springs"/>
    <s v="Colorado"/>
    <n v="80906"/>
    <x v="1"/>
    <s v="OFF-BI-10004593"/>
    <x v="1"/>
    <x v="8"/>
    <x v="270"/>
    <n v="78.599999999999994"/>
    <n v="5"/>
    <x v="6"/>
    <x v="293"/>
    <s v="Valid"/>
    <n v="267.07"/>
    <n v="656.2656164"/>
    <s v="Normal"/>
    <n v="2"/>
    <n v="-0.8"/>
    <n v="23.580000000000002"/>
  </r>
  <r>
    <n v="298"/>
    <s v="CA-2014-111451"/>
    <x v="58"/>
    <d v="2014-12-28T00:00:00"/>
    <x v="2"/>
    <s v="KL-16555"/>
    <s v="Kelly Lampkin"/>
    <x v="1"/>
    <s v="United States"/>
    <s v="Colorado Springs"/>
    <s v="Colorado"/>
    <n v="80906"/>
    <x v="1"/>
    <s v="OFF-FA-10004854"/>
    <x v="1"/>
    <x v="13"/>
    <x v="271"/>
    <n v="27.552"/>
    <n v="3"/>
    <x v="2"/>
    <x v="294"/>
    <s v="Valid"/>
    <n v="267.07"/>
    <n v="656.2656164"/>
    <s v="Normal"/>
    <n v="2"/>
    <n v="0.33750000000000002"/>
    <n v="22.041600000000003"/>
  </r>
  <r>
    <n v="299"/>
    <s v="CA-2016-142545"/>
    <x v="99"/>
    <d v="2016-11-03T00:00:00"/>
    <x v="1"/>
    <s v="JD-15895"/>
    <s v="Jonathan Doherty"/>
    <x v="1"/>
    <s v="United States"/>
    <s v="Belleville"/>
    <s v="New Jersey"/>
    <n v="7109"/>
    <x v="3"/>
    <s v="OFF-PA-10002105"/>
    <x v="1"/>
    <x v="10"/>
    <x v="272"/>
    <n v="32.4"/>
    <n v="5"/>
    <x v="0"/>
    <x v="56"/>
    <s v="Valid"/>
    <n v="267.07"/>
    <n v="656.2656164"/>
    <s v="Normal"/>
    <n v="6"/>
    <n v="0.48"/>
    <n v="32.4"/>
  </r>
  <r>
    <n v="300"/>
    <s v="CA-2016-142545"/>
    <x v="99"/>
    <d v="2016-11-03T00:00:00"/>
    <x v="1"/>
    <s v="JD-15895"/>
    <s v="Jonathan Doherty"/>
    <x v="1"/>
    <s v="United States"/>
    <s v="Belleville"/>
    <s v="New Jersey"/>
    <n v="7109"/>
    <x v="3"/>
    <s v="OFF-ST-10002756"/>
    <x v="1"/>
    <x v="4"/>
    <x v="273"/>
    <n v="1082.48"/>
    <n v="8"/>
    <x v="0"/>
    <x v="295"/>
    <s v="Valid"/>
    <n v="267.07"/>
    <n v="656.2656164"/>
    <s v="Normal"/>
    <n v="6"/>
    <n v="0.01"/>
    <n v="1082.48"/>
  </r>
  <r>
    <n v="301"/>
    <s v="CA-2016-142545"/>
    <x v="99"/>
    <d v="2016-11-03T00:00:00"/>
    <x v="1"/>
    <s v="JD-15895"/>
    <s v="Jonathan Doherty"/>
    <x v="1"/>
    <s v="United States"/>
    <s v="Belleville"/>
    <s v="New Jersey"/>
    <n v="7109"/>
    <x v="3"/>
    <s v="OFF-PA-10004243"/>
    <x v="1"/>
    <x v="10"/>
    <x v="274"/>
    <n v="56.91"/>
    <n v="3"/>
    <x v="0"/>
    <x v="296"/>
    <s v="Valid"/>
    <n v="267.07"/>
    <n v="656.2656164"/>
    <s v="Normal"/>
    <n v="6"/>
    <n v="0.48000000000000004"/>
    <n v="56.91"/>
  </r>
  <r>
    <n v="302"/>
    <s v="CA-2016-142545"/>
    <x v="99"/>
    <d v="2016-11-03T00:00:00"/>
    <x v="1"/>
    <s v="JD-15895"/>
    <s v="Jonathan Doherty"/>
    <x v="1"/>
    <s v="United States"/>
    <s v="Belleville"/>
    <s v="New Jersey"/>
    <n v="7109"/>
    <x v="3"/>
    <s v="FUR-FU-10001861"/>
    <x v="0"/>
    <x v="5"/>
    <x v="275"/>
    <n v="77.599999999999994"/>
    <n v="4"/>
    <x v="0"/>
    <x v="297"/>
    <s v="Valid"/>
    <n v="267.07"/>
    <n v="656.2656164"/>
    <s v="Normal"/>
    <n v="6"/>
    <n v="0.49000000000000005"/>
    <n v="77.599999999999994"/>
  </r>
  <r>
    <n v="303"/>
    <s v="CA-2016-142545"/>
    <x v="99"/>
    <d v="2016-11-03T00:00:00"/>
    <x v="1"/>
    <s v="JD-15895"/>
    <s v="Jonathan Doherty"/>
    <x v="1"/>
    <s v="United States"/>
    <s v="Belleville"/>
    <s v="New Jersey"/>
    <n v="7109"/>
    <x v="3"/>
    <s v="OFF-BI-10002706"/>
    <x v="1"/>
    <x v="8"/>
    <x v="276"/>
    <n v="14.28"/>
    <n v="1"/>
    <x v="0"/>
    <x v="298"/>
    <s v="Valid"/>
    <n v="267.07"/>
    <n v="656.2656164"/>
    <s v="Normal"/>
    <n v="6"/>
    <n v="0.46000000000000008"/>
    <n v="14.28"/>
  </r>
  <r>
    <n v="304"/>
    <s v="US-2017-152380"/>
    <x v="123"/>
    <d v="2017-11-23T00:00:00"/>
    <x v="1"/>
    <s v="JH-15910"/>
    <s v="Jonathan Howell"/>
    <x v="0"/>
    <s v="United States"/>
    <s v="Chicago"/>
    <s v="Illinois"/>
    <n v="60623"/>
    <x v="2"/>
    <s v="FUR-TA-10002533"/>
    <x v="0"/>
    <x v="3"/>
    <x v="277"/>
    <n v="219.07499999999999"/>
    <n v="3"/>
    <x v="5"/>
    <x v="299"/>
    <s v="Valid"/>
    <n v="267.07"/>
    <n v="656.2656164"/>
    <s v="Normal"/>
    <n v="4"/>
    <n v="-0.6"/>
    <n v="109.53749999999999"/>
  </r>
  <r>
    <n v="305"/>
    <s v="CA-2015-144253"/>
    <x v="124"/>
    <d v="2015-05-09T00:00:00"/>
    <x v="0"/>
    <s v="AS-10225"/>
    <s v="Alan Schoenberger"/>
    <x v="1"/>
    <s v="United States"/>
    <s v="New York City"/>
    <s v="New York"/>
    <n v="10024"/>
    <x v="3"/>
    <s v="FUR-FU-10002671"/>
    <x v="0"/>
    <x v="5"/>
    <x v="278"/>
    <n v="26.8"/>
    <n v="2"/>
    <x v="0"/>
    <x v="300"/>
    <s v="Valid"/>
    <n v="267.07"/>
    <n v="656.2656164"/>
    <s v="Normal"/>
    <n v="5"/>
    <n v="0.48000000000000004"/>
    <n v="26.8"/>
  </r>
  <r>
    <n v="306"/>
    <s v="CA-2014-130960"/>
    <x v="125"/>
    <d v="2015-01-04T00:00:00"/>
    <x v="1"/>
    <s v="KB-16600"/>
    <s v="Ken Brennan"/>
    <x v="1"/>
    <s v="United States"/>
    <s v="Taylor"/>
    <s v="Michigan"/>
    <n v="48180"/>
    <x v="2"/>
    <s v="OFF-AR-10003651"/>
    <x v="1"/>
    <x v="6"/>
    <x v="279"/>
    <n v="9.84"/>
    <n v="3"/>
    <x v="0"/>
    <x v="301"/>
    <s v="Valid"/>
    <n v="267.07"/>
    <n v="656.2656164"/>
    <s v="Normal"/>
    <n v="5"/>
    <n v="0.29000000000000004"/>
    <n v="9.84"/>
  </r>
  <r>
    <n v="307"/>
    <s v="CA-2014-111003"/>
    <x v="106"/>
    <d v="2014-06-06T00:00:00"/>
    <x v="1"/>
    <s v="CR-12625"/>
    <s v="Corey Roper"/>
    <x v="2"/>
    <s v="United States"/>
    <s v="Lakewood"/>
    <s v="New Jersey"/>
    <n v="8701"/>
    <x v="3"/>
    <s v="OFF-BI-10001072"/>
    <x v="1"/>
    <x v="8"/>
    <x v="280"/>
    <n v="45.48"/>
    <n v="3"/>
    <x v="0"/>
    <x v="302"/>
    <s v="Valid"/>
    <n v="267.07"/>
    <n v="656.2656164"/>
    <s v="Normal"/>
    <n v="5"/>
    <n v="0.46"/>
    <n v="45.48"/>
  </r>
  <r>
    <n v="308"/>
    <s v="CA-2014-111003"/>
    <x v="106"/>
    <d v="2014-06-06T00:00:00"/>
    <x v="1"/>
    <s v="CR-12625"/>
    <s v="Corey Roper"/>
    <x v="2"/>
    <s v="United States"/>
    <s v="Lakewood"/>
    <s v="New Jersey"/>
    <n v="8701"/>
    <x v="3"/>
    <s v="OFF-AR-10002135"/>
    <x v="1"/>
    <x v="6"/>
    <x v="281"/>
    <n v="289.2"/>
    <n v="6"/>
    <x v="0"/>
    <x v="303"/>
    <s v="Valid"/>
    <n v="267.07"/>
    <n v="656.2656164"/>
    <s v="Normal"/>
    <n v="5"/>
    <n v="0.28999999999999998"/>
    <n v="289.2"/>
  </r>
  <r>
    <n v="309"/>
    <s v="CA-2017-126774"/>
    <x v="4"/>
    <d v="2017-04-17T00:00:00"/>
    <x v="2"/>
    <s v="SH-20395"/>
    <s v="Shahid Hopkins"/>
    <x v="0"/>
    <s v="United States"/>
    <s v="Arlington"/>
    <s v="Virginia"/>
    <n v="22204"/>
    <x v="0"/>
    <s v="OFF-AR-10002804"/>
    <x v="1"/>
    <x v="6"/>
    <x v="282"/>
    <n v="4.8899999999999997"/>
    <n v="1"/>
    <x v="0"/>
    <x v="304"/>
    <s v="Valid"/>
    <n v="267.07"/>
    <n v="656.2656164"/>
    <s v="Normal"/>
    <n v="2"/>
    <n v="0.41000000000000003"/>
    <n v="4.8899999999999997"/>
  </r>
  <r>
    <n v="310"/>
    <s v="CA-2016-142902"/>
    <x v="126"/>
    <d v="2016-09-14T00:00:00"/>
    <x v="0"/>
    <s v="BP-11185"/>
    <s v="Ben Peterman"/>
    <x v="1"/>
    <s v="United States"/>
    <s v="Arvada"/>
    <s v="Colorado"/>
    <n v="80004"/>
    <x v="1"/>
    <s v="FUR-FU-10001918"/>
    <x v="0"/>
    <x v="5"/>
    <x v="283"/>
    <n v="15.135999999999999"/>
    <n v="4"/>
    <x v="2"/>
    <x v="305"/>
    <s v="Valid"/>
    <n v="267.07"/>
    <n v="656.2656164"/>
    <s v="Normal"/>
    <n v="2"/>
    <n v="0.23750000000000002"/>
    <n v="12.1088"/>
  </r>
  <r>
    <n v="311"/>
    <s v="CA-2016-142902"/>
    <x v="126"/>
    <d v="2016-09-14T00:00:00"/>
    <x v="0"/>
    <s v="BP-11185"/>
    <s v="Ben Peterman"/>
    <x v="1"/>
    <s v="United States"/>
    <s v="Arvada"/>
    <s v="Colorado"/>
    <n v="80004"/>
    <x v="1"/>
    <s v="FUR-CH-10004086"/>
    <x v="0"/>
    <x v="1"/>
    <x v="284"/>
    <n v="466.76799999999997"/>
    <n v="2"/>
    <x v="2"/>
    <x v="306"/>
    <s v="Valid"/>
    <n v="267.07"/>
    <n v="656.2656164"/>
    <s v="Normal"/>
    <n v="2"/>
    <n v="0.11250000000000002"/>
    <n v="373.4144"/>
  </r>
  <r>
    <n v="312"/>
    <s v="CA-2016-142902"/>
    <x v="126"/>
    <d v="2016-09-14T00:00:00"/>
    <x v="0"/>
    <s v="BP-11185"/>
    <s v="Ben Peterman"/>
    <x v="1"/>
    <s v="United States"/>
    <s v="Arvada"/>
    <s v="Colorado"/>
    <n v="80004"/>
    <x v="1"/>
    <s v="FUR-FU-10001756"/>
    <x v="0"/>
    <x v="5"/>
    <x v="285"/>
    <n v="15.231999999999999"/>
    <n v="1"/>
    <x v="2"/>
    <x v="307"/>
    <s v="Valid"/>
    <n v="267.07"/>
    <n v="656.2656164"/>
    <s v="Normal"/>
    <n v="2"/>
    <n v="0.1125"/>
    <n v="12.185600000000001"/>
  </r>
  <r>
    <n v="313"/>
    <s v="CA-2016-142902"/>
    <x v="126"/>
    <d v="2016-09-14T00:00:00"/>
    <x v="0"/>
    <s v="BP-11185"/>
    <s v="Ben Peterman"/>
    <x v="1"/>
    <s v="United States"/>
    <s v="Arvada"/>
    <s v="Colorado"/>
    <n v="80004"/>
    <x v="1"/>
    <s v="OFF-LA-10000634"/>
    <x v="1"/>
    <x v="2"/>
    <x v="286"/>
    <n v="6.2640000000000002"/>
    <n v="3"/>
    <x v="2"/>
    <x v="308"/>
    <s v="Valid"/>
    <n v="267.07"/>
    <n v="656.2656164"/>
    <s v="Normal"/>
    <n v="2"/>
    <n v="0.32500000000000001"/>
    <n v="5.0112000000000005"/>
  </r>
  <r>
    <n v="314"/>
    <s v="CA-2014-120887"/>
    <x v="127"/>
    <d v="2014-10-03T00:00:00"/>
    <x v="1"/>
    <s v="TS-21205"/>
    <s v="Thomas Seio"/>
    <x v="1"/>
    <s v="United States"/>
    <s v="Hackensack"/>
    <s v="New Jersey"/>
    <n v="7601"/>
    <x v="3"/>
    <s v="FUR-FU-10001588"/>
    <x v="0"/>
    <x v="5"/>
    <x v="287"/>
    <n v="87.54"/>
    <n v="3"/>
    <x v="0"/>
    <x v="309"/>
    <s v="Valid"/>
    <n v="267.07"/>
    <n v="656.2656164"/>
    <s v="Normal"/>
    <n v="6"/>
    <n v="0.43"/>
    <n v="87.54"/>
  </r>
  <r>
    <n v="315"/>
    <s v="CA-2014-167850"/>
    <x v="128"/>
    <d v="2014-08-16T00:00:00"/>
    <x v="1"/>
    <s v="AG-10525"/>
    <s v="Andy Gerbode"/>
    <x v="1"/>
    <s v="United States"/>
    <s v="Saint Petersburg"/>
    <s v="Florida"/>
    <n v="33710"/>
    <x v="0"/>
    <s v="TEC-PH-10002398"/>
    <x v="2"/>
    <x v="7"/>
    <x v="288"/>
    <n v="178.38399999999999"/>
    <n v="2"/>
    <x v="2"/>
    <x v="310"/>
    <s v="Valid"/>
    <n v="267.07"/>
    <n v="656.2656164"/>
    <s v="Normal"/>
    <n v="7"/>
    <n v="0.125"/>
    <n v="142.7072"/>
  </r>
  <r>
    <n v="316"/>
    <s v="CA-2014-167850"/>
    <x v="128"/>
    <d v="2014-08-16T00:00:00"/>
    <x v="1"/>
    <s v="AG-10525"/>
    <s v="Andy Gerbode"/>
    <x v="1"/>
    <s v="United States"/>
    <s v="Saint Petersburg"/>
    <s v="Florida"/>
    <n v="33710"/>
    <x v="0"/>
    <s v="OFF-PA-10001937"/>
    <x v="1"/>
    <x v="10"/>
    <x v="289"/>
    <n v="15.552"/>
    <n v="3"/>
    <x v="2"/>
    <x v="12"/>
    <s v="Valid"/>
    <n v="267.07"/>
    <n v="656.2656164"/>
    <s v="Normal"/>
    <n v="7"/>
    <n v="0.35000000000000003"/>
    <n v="12.441600000000001"/>
  </r>
  <r>
    <n v="317"/>
    <s v="CA-2014-164259"/>
    <x v="129"/>
    <d v="2014-12-30T00:00:00"/>
    <x v="2"/>
    <s v="SP-20860"/>
    <s v="Sung Pak"/>
    <x v="1"/>
    <s v="United States"/>
    <s v="Philadelphia"/>
    <s v="Pennsylvania"/>
    <n v="19143"/>
    <x v="3"/>
    <s v="OFF-AR-10003373"/>
    <x v="1"/>
    <x v="6"/>
    <x v="290"/>
    <n v="99.135999999999996"/>
    <n v="4"/>
    <x v="2"/>
    <x v="311"/>
    <s v="Valid"/>
    <n v="267.07"/>
    <n v="656.2656164"/>
    <s v="Normal"/>
    <n v="2"/>
    <n v="8.7500000000000008E-2"/>
    <n v="79.308800000000005"/>
  </r>
  <r>
    <n v="318"/>
    <s v="CA-2014-164973"/>
    <x v="130"/>
    <d v="2014-11-09T00:00:00"/>
    <x v="1"/>
    <s v="NM-18445"/>
    <s v="Nathan Mautz"/>
    <x v="2"/>
    <s v="United States"/>
    <s v="New York City"/>
    <s v="New York"/>
    <n v="10024"/>
    <x v="3"/>
    <s v="FUR-CH-10002602"/>
    <x v="0"/>
    <x v="1"/>
    <x v="291"/>
    <n v="135.88200000000001"/>
    <n v="1"/>
    <x v="9"/>
    <x v="312"/>
    <s v="Valid"/>
    <n v="267.07"/>
    <n v="656.2656164"/>
    <s v="Normal"/>
    <n v="5"/>
    <n v="0.17777777777777778"/>
    <n v="122.2938"/>
  </r>
  <r>
    <n v="319"/>
    <s v="CA-2014-164973"/>
    <x v="130"/>
    <d v="2014-11-09T00:00:00"/>
    <x v="1"/>
    <s v="NM-18445"/>
    <s v="Nathan Mautz"/>
    <x v="2"/>
    <s v="United States"/>
    <s v="New York City"/>
    <s v="New York"/>
    <n v="10024"/>
    <x v="3"/>
    <s v="TEC-MA-10002927"/>
    <x v="2"/>
    <x v="15"/>
    <x v="292"/>
    <n v="3991.98"/>
    <n v="2"/>
    <x v="0"/>
    <x v="313"/>
    <s v="Valid"/>
    <n v="267.07"/>
    <n v="656.2656164"/>
    <s v="High Outlier"/>
    <n v="5"/>
    <n v="0.5"/>
    <n v="3991.98"/>
  </r>
  <r>
    <n v="320"/>
    <s v="CA-2014-164973"/>
    <x v="130"/>
    <d v="2014-11-09T00:00:00"/>
    <x v="1"/>
    <s v="NM-18445"/>
    <s v="Nathan Mautz"/>
    <x v="2"/>
    <s v="United States"/>
    <s v="New York City"/>
    <s v="New York"/>
    <n v="10024"/>
    <x v="3"/>
    <s v="TEC-PH-10004093"/>
    <x v="2"/>
    <x v="7"/>
    <x v="40"/>
    <n v="275.94"/>
    <n v="6"/>
    <x v="0"/>
    <x v="314"/>
    <s v="Valid"/>
    <n v="267.07"/>
    <n v="656.2656164"/>
    <s v="Normal"/>
    <n v="5"/>
    <n v="0.28999999999999998"/>
    <n v="275.94"/>
  </r>
  <r>
    <n v="321"/>
    <s v="CA-2014-164973"/>
    <x v="130"/>
    <d v="2014-11-09T00:00:00"/>
    <x v="1"/>
    <s v="NM-18445"/>
    <s v="Nathan Mautz"/>
    <x v="2"/>
    <s v="United States"/>
    <s v="New York City"/>
    <s v="New York"/>
    <n v="10024"/>
    <x v="3"/>
    <s v="TEC-AC-10000892"/>
    <x v="2"/>
    <x v="11"/>
    <x v="293"/>
    <n v="360"/>
    <n v="4"/>
    <x v="0"/>
    <x v="315"/>
    <s v="Valid"/>
    <n v="267.07"/>
    <n v="656.2656164"/>
    <s v="Normal"/>
    <n v="5"/>
    <n v="0.36"/>
    <n v="360"/>
  </r>
  <r>
    <n v="322"/>
    <s v="CA-2014-164973"/>
    <x v="130"/>
    <d v="2014-11-09T00:00:00"/>
    <x v="1"/>
    <s v="NM-18445"/>
    <s v="Nathan Mautz"/>
    <x v="2"/>
    <s v="United States"/>
    <s v="New York City"/>
    <s v="New York"/>
    <n v="10024"/>
    <x v="3"/>
    <s v="OFF-ST-10002974"/>
    <x v="1"/>
    <x v="4"/>
    <x v="123"/>
    <n v="43.57"/>
    <n v="1"/>
    <x v="0"/>
    <x v="316"/>
    <s v="Valid"/>
    <n v="267.07"/>
    <n v="656.2656164"/>
    <s v="Normal"/>
    <n v="5"/>
    <n v="0.3"/>
    <n v="43.57"/>
  </r>
  <r>
    <n v="323"/>
    <s v="CA-2014-156601"/>
    <x v="111"/>
    <d v="2014-09-24T00:00:00"/>
    <x v="1"/>
    <s v="FA-14230"/>
    <s v="Frank Atkinson"/>
    <x v="1"/>
    <s v="United States"/>
    <s v="Long Beach"/>
    <s v="California"/>
    <n v="90805"/>
    <x v="1"/>
    <s v="OFF-FA-10000624"/>
    <x v="1"/>
    <x v="13"/>
    <x v="294"/>
    <n v="7.16"/>
    <n v="2"/>
    <x v="0"/>
    <x v="317"/>
    <s v="Valid"/>
    <n v="267.07"/>
    <n v="656.2656164"/>
    <s v="Normal"/>
    <n v="5"/>
    <n v="0.5"/>
    <n v="7.16"/>
  </r>
  <r>
    <n v="324"/>
    <s v="CA-2016-162138"/>
    <x v="131"/>
    <d v="2016-04-27T00:00:00"/>
    <x v="1"/>
    <s v="GK-14620"/>
    <s v="Grace Kelly"/>
    <x v="1"/>
    <s v="United States"/>
    <s v="Hesperia"/>
    <s v="California"/>
    <n v="92345"/>
    <x v="1"/>
    <s v="OFF-BI-10004593"/>
    <x v="1"/>
    <x v="8"/>
    <x v="270"/>
    <n v="251.52"/>
    <n v="6"/>
    <x v="2"/>
    <x v="318"/>
    <s v="Valid"/>
    <n v="267.07"/>
    <n v="656.2656164"/>
    <s v="Normal"/>
    <n v="4"/>
    <n v="0.32500000000000001"/>
    <n v="201.21600000000001"/>
  </r>
  <r>
    <n v="325"/>
    <s v="CA-2016-162138"/>
    <x v="131"/>
    <d v="2016-04-27T00:00:00"/>
    <x v="1"/>
    <s v="GK-14620"/>
    <s v="Grace Kelly"/>
    <x v="1"/>
    <s v="United States"/>
    <s v="Hesperia"/>
    <s v="California"/>
    <n v="92345"/>
    <x v="1"/>
    <s v="TEC-AC-10001908"/>
    <x v="2"/>
    <x v="11"/>
    <x v="295"/>
    <n v="99.99"/>
    <n v="1"/>
    <x v="0"/>
    <x v="319"/>
    <s v="Valid"/>
    <n v="267.07"/>
    <n v="656.2656164"/>
    <s v="Normal"/>
    <n v="4"/>
    <n v="0.35"/>
    <n v="99.99"/>
  </r>
  <r>
    <n v="326"/>
    <s v="CA-2017-153339"/>
    <x v="132"/>
    <d v="2017-11-05T00:00:00"/>
    <x v="0"/>
    <s v="DJ-13510"/>
    <s v="Don Jones"/>
    <x v="1"/>
    <s v="United States"/>
    <s v="Murfreesboro"/>
    <s v="Tennessee"/>
    <n v="37130"/>
    <x v="0"/>
    <s v="FUR-FU-10001967"/>
    <x v="0"/>
    <x v="5"/>
    <x v="296"/>
    <n v="15.992000000000001"/>
    <n v="1"/>
    <x v="2"/>
    <x v="320"/>
    <s v="Valid"/>
    <n v="267.07"/>
    <n v="656.2656164"/>
    <s v="Normal"/>
    <n v="2"/>
    <n v="6.25E-2"/>
    <n v="12.793600000000001"/>
  </r>
  <r>
    <n v="327"/>
    <s v="US-2016-141544"/>
    <x v="133"/>
    <d v="2016-09-01T00:00:00"/>
    <x v="2"/>
    <s v="PO-18850"/>
    <s v="Patrick O'Brill"/>
    <x v="0"/>
    <s v="United States"/>
    <s v="Philadelphia"/>
    <s v="Pennsylvania"/>
    <n v="19143"/>
    <x v="3"/>
    <s v="TEC-PH-10003645"/>
    <x v="2"/>
    <x v="7"/>
    <x v="297"/>
    <n v="290.89800000000002"/>
    <n v="3"/>
    <x v="10"/>
    <x v="321"/>
    <s v="Valid"/>
    <n v="267.07"/>
    <n v="656.2656164"/>
    <s v="Normal"/>
    <n v="2"/>
    <n v="-0.23333333333333331"/>
    <n v="174.53880000000001"/>
  </r>
  <r>
    <n v="328"/>
    <s v="US-2016-141544"/>
    <x v="133"/>
    <d v="2016-09-01T00:00:00"/>
    <x v="2"/>
    <s v="PO-18850"/>
    <s v="Patrick O'Brill"/>
    <x v="0"/>
    <s v="United States"/>
    <s v="Philadelphia"/>
    <s v="Pennsylvania"/>
    <n v="19143"/>
    <x v="3"/>
    <s v="OFF-ST-10000675"/>
    <x v="1"/>
    <x v="4"/>
    <x v="298"/>
    <n v="54.223999999999997"/>
    <n v="2"/>
    <x v="2"/>
    <x v="322"/>
    <s v="Valid"/>
    <n v="267.07"/>
    <n v="656.2656164"/>
    <s v="Normal"/>
    <n v="2"/>
    <n v="6.25E-2"/>
    <n v="43.379199999999997"/>
  </r>
  <r>
    <n v="329"/>
    <s v="US-2016-141544"/>
    <x v="133"/>
    <d v="2016-09-01T00:00:00"/>
    <x v="2"/>
    <s v="PO-18850"/>
    <s v="Patrick O'Brill"/>
    <x v="0"/>
    <s v="United States"/>
    <s v="Philadelphia"/>
    <s v="Pennsylvania"/>
    <n v="19143"/>
    <x v="3"/>
    <s v="FUR-CH-10003312"/>
    <x v="0"/>
    <x v="1"/>
    <x v="299"/>
    <n v="786.74400000000003"/>
    <n v="4"/>
    <x v="4"/>
    <x v="323"/>
    <s v="Valid"/>
    <n v="267.07"/>
    <n v="656.2656164"/>
    <s v="Normal"/>
    <n v="2"/>
    <n v="-0.32857142857142857"/>
    <n v="550.72079999999994"/>
  </r>
  <r>
    <n v="330"/>
    <s v="US-2016-141544"/>
    <x v="133"/>
    <d v="2016-09-01T00:00:00"/>
    <x v="2"/>
    <s v="PO-18850"/>
    <s v="Patrick O'Brill"/>
    <x v="0"/>
    <s v="United States"/>
    <s v="Philadelphia"/>
    <s v="Pennsylvania"/>
    <n v="19143"/>
    <x v="3"/>
    <s v="OFF-LA-10001074"/>
    <x v="1"/>
    <x v="2"/>
    <x v="300"/>
    <n v="100.24"/>
    <n v="10"/>
    <x v="2"/>
    <x v="324"/>
    <s v="Valid"/>
    <n v="267.07"/>
    <n v="656.2656164"/>
    <s v="Normal"/>
    <n v="2"/>
    <n v="0.33750000000000002"/>
    <n v="80.192000000000007"/>
  </r>
  <r>
    <n v="331"/>
    <s v="US-2016-141544"/>
    <x v="133"/>
    <d v="2016-09-01T00:00:00"/>
    <x v="2"/>
    <s v="PO-18850"/>
    <s v="Patrick O'Brill"/>
    <x v="0"/>
    <s v="United States"/>
    <s v="Philadelphia"/>
    <s v="Pennsylvania"/>
    <n v="19143"/>
    <x v="3"/>
    <s v="OFF-BI-10001524"/>
    <x v="1"/>
    <x v="8"/>
    <x v="301"/>
    <n v="37.764000000000003"/>
    <n v="6"/>
    <x v="6"/>
    <x v="325"/>
    <s v="Valid"/>
    <n v="267.07"/>
    <n v="656.2656164"/>
    <s v="Normal"/>
    <n v="2"/>
    <n v="-0.73333333333333328"/>
    <n v="11.329200000000002"/>
  </r>
  <r>
    <n v="332"/>
    <s v="US-2016-150147"/>
    <x v="134"/>
    <d v="2016-04-29T00:00:00"/>
    <x v="0"/>
    <s v="JL-15850"/>
    <s v="John Lucas"/>
    <x v="0"/>
    <s v="United States"/>
    <s v="Philadelphia"/>
    <s v="Pennsylvania"/>
    <n v="19134"/>
    <x v="3"/>
    <s v="TEC-PH-10004614"/>
    <x v="2"/>
    <x v="7"/>
    <x v="302"/>
    <n v="82.8"/>
    <n v="2"/>
    <x v="10"/>
    <x v="326"/>
    <s v="Valid"/>
    <n v="267.07"/>
    <n v="656.2656164"/>
    <s v="Normal"/>
    <n v="4"/>
    <n v="-0.25"/>
    <n v="49.68"/>
  </r>
  <r>
    <n v="333"/>
    <s v="US-2016-150147"/>
    <x v="134"/>
    <d v="2016-04-29T00:00:00"/>
    <x v="0"/>
    <s v="JL-15850"/>
    <s v="John Lucas"/>
    <x v="0"/>
    <s v="United States"/>
    <s v="Philadelphia"/>
    <s v="Pennsylvania"/>
    <n v="19134"/>
    <x v="3"/>
    <s v="OFF-BI-10001153"/>
    <x v="1"/>
    <x v="8"/>
    <x v="303"/>
    <n v="20.724"/>
    <n v="2"/>
    <x v="6"/>
    <x v="327"/>
    <s v="Valid"/>
    <n v="267.07"/>
    <n v="656.2656164"/>
    <s v="Normal"/>
    <n v="4"/>
    <n v="-0.66666666666666674"/>
    <n v="6.2172000000000009"/>
  </r>
  <r>
    <n v="334"/>
    <s v="US-2016-150147"/>
    <x v="134"/>
    <d v="2016-04-29T00:00:00"/>
    <x v="0"/>
    <s v="JL-15850"/>
    <s v="John Lucas"/>
    <x v="0"/>
    <s v="United States"/>
    <s v="Philadelphia"/>
    <s v="Pennsylvania"/>
    <n v="19134"/>
    <x v="3"/>
    <s v="OFF-BI-10001982"/>
    <x v="1"/>
    <x v="8"/>
    <x v="304"/>
    <n v="4.8959999999999999"/>
    <n v="3"/>
    <x v="6"/>
    <x v="328"/>
    <s v="Valid"/>
    <n v="267.07"/>
    <n v="656.2656164"/>
    <s v="Normal"/>
    <n v="4"/>
    <n v="-0.70000000000000007"/>
    <n v="1.4688000000000001"/>
  </r>
  <r>
    <n v="335"/>
    <s v="CA-2015-137946"/>
    <x v="135"/>
    <d v="2015-09-04T00:00:00"/>
    <x v="0"/>
    <s v="DB-13615"/>
    <s v="Doug Bickford"/>
    <x v="0"/>
    <s v="United States"/>
    <s v="Los Angeles"/>
    <s v="California"/>
    <n v="90045"/>
    <x v="1"/>
    <s v="OFF-BI-10001922"/>
    <x v="1"/>
    <x v="8"/>
    <x v="305"/>
    <n v="4.7519999999999998"/>
    <n v="1"/>
    <x v="2"/>
    <x v="329"/>
    <s v="Valid"/>
    <n v="267.07"/>
    <n v="656.2656164"/>
    <s v="Normal"/>
    <n v="3"/>
    <n v="0.33749999999999997"/>
    <n v="3.8016000000000001"/>
  </r>
  <r>
    <n v="336"/>
    <s v="CA-2015-137946"/>
    <x v="135"/>
    <d v="2015-09-04T00:00:00"/>
    <x v="0"/>
    <s v="DB-13615"/>
    <s v="Doug Bickford"/>
    <x v="0"/>
    <s v="United States"/>
    <s v="Los Angeles"/>
    <s v="California"/>
    <n v="90045"/>
    <x v="1"/>
    <s v="TEC-CO-10001449"/>
    <x v="2"/>
    <x v="16"/>
    <x v="306"/>
    <n v="959.98400000000004"/>
    <n v="2"/>
    <x v="2"/>
    <x v="330"/>
    <s v="Valid"/>
    <n v="267.07"/>
    <n v="656.2656164"/>
    <s v="Normal"/>
    <n v="3"/>
    <n v="0.35"/>
    <n v="767.98720000000003"/>
  </r>
  <r>
    <n v="337"/>
    <s v="CA-2015-137946"/>
    <x v="135"/>
    <d v="2015-09-04T00:00:00"/>
    <x v="0"/>
    <s v="DB-13615"/>
    <s v="Doug Bickford"/>
    <x v="0"/>
    <s v="United States"/>
    <s v="Los Angeles"/>
    <s v="California"/>
    <n v="90045"/>
    <x v="1"/>
    <s v="OFF-BI-10004140"/>
    <x v="1"/>
    <x v="8"/>
    <x v="307"/>
    <n v="14.368"/>
    <n v="4"/>
    <x v="2"/>
    <x v="331"/>
    <s v="Valid"/>
    <n v="267.07"/>
    <n v="656.2656164"/>
    <s v="Normal"/>
    <n v="3"/>
    <n v="0.3125"/>
    <n v="11.494400000000001"/>
  </r>
  <r>
    <n v="338"/>
    <s v="CA-2014-129924"/>
    <x v="136"/>
    <d v="2014-07-17T00:00:00"/>
    <x v="1"/>
    <s v="AC-10420"/>
    <s v="Alyssa Crouse"/>
    <x v="1"/>
    <s v="United States"/>
    <s v="San Francisco"/>
    <s v="California"/>
    <n v="94122"/>
    <x v="1"/>
    <s v="OFF-BI-10003314"/>
    <x v="1"/>
    <x v="8"/>
    <x v="308"/>
    <n v="7.7119999999999997"/>
    <n v="2"/>
    <x v="2"/>
    <x v="332"/>
    <s v="Valid"/>
    <n v="267.07"/>
    <n v="656.2656164"/>
    <s v="Normal"/>
    <n v="5"/>
    <n v="0.36249999999999999"/>
    <n v="6.1696"/>
  </r>
  <r>
    <n v="339"/>
    <s v="CA-2014-129924"/>
    <x v="136"/>
    <d v="2014-07-17T00:00:00"/>
    <x v="1"/>
    <s v="AC-10420"/>
    <s v="Alyssa Crouse"/>
    <x v="1"/>
    <s v="United States"/>
    <s v="San Francisco"/>
    <s v="California"/>
    <n v="94122"/>
    <x v="1"/>
    <s v="FUR-TA-10004575"/>
    <x v="0"/>
    <x v="3"/>
    <x v="309"/>
    <n v="698.35199999999998"/>
    <n v="3"/>
    <x v="2"/>
    <x v="333"/>
    <s v="Valid"/>
    <n v="267.07"/>
    <n v="656.2656164"/>
    <s v="Normal"/>
    <n v="5"/>
    <n v="-2.5000000000000001E-2"/>
    <n v="558.6816"/>
  </r>
  <r>
    <n v="340"/>
    <s v="CA-2015-128167"/>
    <x v="137"/>
    <d v="2015-06-26T00:00:00"/>
    <x v="0"/>
    <s v="KL-16645"/>
    <s v="Ken Lonsdale"/>
    <x v="0"/>
    <s v="United States"/>
    <s v="Layton"/>
    <s v="Utah"/>
    <n v="84041"/>
    <x v="1"/>
    <s v="OFF-FA-10000490"/>
    <x v="1"/>
    <x v="13"/>
    <x v="310"/>
    <n v="4.96"/>
    <n v="4"/>
    <x v="0"/>
    <x v="334"/>
    <s v="Valid"/>
    <n v="267.07"/>
    <n v="656.2656164"/>
    <s v="Normal"/>
    <n v="4"/>
    <n v="0.47"/>
    <n v="4.96"/>
  </r>
  <r>
    <n v="341"/>
    <s v="CA-2014-122336"/>
    <x v="138"/>
    <d v="2014-04-17T00:00:00"/>
    <x v="0"/>
    <s v="JD-15895"/>
    <s v="Jonathan Doherty"/>
    <x v="1"/>
    <s v="United States"/>
    <s v="Philadelphia"/>
    <s v="Pennsylvania"/>
    <n v="19140"/>
    <x v="3"/>
    <s v="OFF-AR-10000122"/>
    <x v="1"/>
    <x v="6"/>
    <x v="311"/>
    <n v="17.856000000000002"/>
    <n v="4"/>
    <x v="2"/>
    <x v="335"/>
    <s v="Valid"/>
    <n v="267.07"/>
    <n v="656.2656164"/>
    <s v="Normal"/>
    <n v="4"/>
    <n v="6.25E-2"/>
    <n v="14.284800000000002"/>
  </r>
  <r>
    <n v="342"/>
    <s v="CA-2014-122336"/>
    <x v="138"/>
    <d v="2014-04-17T00:00:00"/>
    <x v="0"/>
    <s v="JD-15895"/>
    <s v="Jonathan Doherty"/>
    <x v="1"/>
    <s v="United States"/>
    <s v="Philadelphia"/>
    <s v="Pennsylvania"/>
    <n v="19140"/>
    <x v="3"/>
    <s v="OFF-BI-10003656"/>
    <x v="1"/>
    <x v="8"/>
    <x v="13"/>
    <n v="509.97"/>
    <n v="10"/>
    <x v="6"/>
    <x v="336"/>
    <s v="Valid"/>
    <n v="267.07"/>
    <n v="656.2656164"/>
    <s v="Normal"/>
    <n v="4"/>
    <n v="-0.79999999999999993"/>
    <n v="152.99100000000004"/>
  </r>
  <r>
    <n v="343"/>
    <s v="CA-2014-122336"/>
    <x v="138"/>
    <d v="2014-04-17T00:00:00"/>
    <x v="0"/>
    <s v="JD-15895"/>
    <s v="Jonathan Doherty"/>
    <x v="1"/>
    <s v="United States"/>
    <s v="Philadelphia"/>
    <s v="Pennsylvania"/>
    <n v="19140"/>
    <x v="3"/>
    <s v="OFF-FA-10002780"/>
    <x v="1"/>
    <x v="13"/>
    <x v="128"/>
    <n v="30.992000000000001"/>
    <n v="13"/>
    <x v="2"/>
    <x v="337"/>
    <s v="Valid"/>
    <n v="267.07"/>
    <n v="656.2656164"/>
    <s v="Normal"/>
    <n v="4"/>
    <n v="0.32500000000000001"/>
    <n v="24.793600000000001"/>
  </r>
  <r>
    <n v="344"/>
    <s v="CA-2014-122336"/>
    <x v="138"/>
    <d v="2014-04-17T00:00:00"/>
    <x v="0"/>
    <s v="JD-15895"/>
    <s v="Jonathan Doherty"/>
    <x v="1"/>
    <s v="United States"/>
    <s v="Philadelphia"/>
    <s v="Pennsylvania"/>
    <n v="19140"/>
    <x v="3"/>
    <s v="TEC-PH-10000702"/>
    <x v="2"/>
    <x v="7"/>
    <x v="312"/>
    <n v="71.927999999999997"/>
    <n v="12"/>
    <x v="10"/>
    <x v="338"/>
    <s v="Valid"/>
    <n v="267.07"/>
    <n v="656.2656164"/>
    <s v="Normal"/>
    <n v="4"/>
    <n v="0.11666666666666668"/>
    <n v="43.156799999999997"/>
  </r>
  <r>
    <n v="345"/>
    <s v="US-2015-120712"/>
    <x v="139"/>
    <d v="2015-12-24T00:00:00"/>
    <x v="1"/>
    <s v="CS-12130"/>
    <s v="Chad Sievert"/>
    <x v="0"/>
    <s v="United States"/>
    <s v="Austin"/>
    <s v="Texas"/>
    <n v="78745"/>
    <x v="2"/>
    <s v="OFF-ST-10000107"/>
    <x v="1"/>
    <x v="4"/>
    <x v="17"/>
    <n v="88.8"/>
    <n v="4"/>
    <x v="2"/>
    <x v="339"/>
    <s v="Valid"/>
    <n v="267.07"/>
    <n v="656.2656164"/>
    <s v="Normal"/>
    <n v="4"/>
    <n v="-2.5000000000000001E-2"/>
    <n v="71.040000000000006"/>
  </r>
  <r>
    <n v="346"/>
    <s v="CA-2017-169901"/>
    <x v="140"/>
    <d v="2017-06-19T00:00:00"/>
    <x v="1"/>
    <s v="CC-12550"/>
    <s v="Clay Cheatham"/>
    <x v="0"/>
    <s v="United States"/>
    <s v="San Francisco"/>
    <s v="California"/>
    <n v="94122"/>
    <x v="1"/>
    <s v="TEC-PH-10002293"/>
    <x v="2"/>
    <x v="7"/>
    <x v="126"/>
    <n v="47.975999999999999"/>
    <n v="3"/>
    <x v="2"/>
    <x v="340"/>
    <s v="Valid"/>
    <n v="267.07"/>
    <n v="656.2656164"/>
    <s v="Normal"/>
    <n v="4"/>
    <n v="0.1"/>
    <n v="38.380800000000001"/>
  </r>
  <r>
    <n v="347"/>
    <s v="CA-2017-134306"/>
    <x v="141"/>
    <d v="2017-07-12T00:00:00"/>
    <x v="1"/>
    <s v="TD-20995"/>
    <s v="Tamara Dahlen"/>
    <x v="0"/>
    <s v="United States"/>
    <s v="Lowell"/>
    <s v="Massachusetts"/>
    <n v="1852"/>
    <x v="3"/>
    <s v="OFF-AR-10004027"/>
    <x v="1"/>
    <x v="6"/>
    <x v="184"/>
    <n v="7.56"/>
    <n v="3"/>
    <x v="0"/>
    <x v="341"/>
    <s v="Valid"/>
    <n v="267.07"/>
    <n v="656.2656164"/>
    <s v="Normal"/>
    <n v="4"/>
    <n v="0.41000000000000003"/>
    <n v="7.56"/>
  </r>
  <r>
    <n v="348"/>
    <s v="CA-2017-134306"/>
    <x v="141"/>
    <d v="2017-07-12T00:00:00"/>
    <x v="1"/>
    <s v="TD-20995"/>
    <s v="Tamara Dahlen"/>
    <x v="0"/>
    <s v="United States"/>
    <s v="Lowell"/>
    <s v="Massachusetts"/>
    <n v="1852"/>
    <x v="3"/>
    <s v="OFF-PA-10000249"/>
    <x v="1"/>
    <x v="10"/>
    <x v="33"/>
    <n v="24.56"/>
    <n v="2"/>
    <x v="0"/>
    <x v="342"/>
    <s v="Valid"/>
    <n v="267.07"/>
    <n v="656.2656164"/>
    <s v="Normal"/>
    <n v="4"/>
    <n v="0.47000000000000003"/>
    <n v="24.56"/>
  </r>
  <r>
    <n v="349"/>
    <s v="CA-2017-134306"/>
    <x v="141"/>
    <d v="2017-07-12T00:00:00"/>
    <x v="1"/>
    <s v="TD-20995"/>
    <s v="Tamara Dahlen"/>
    <x v="0"/>
    <s v="United States"/>
    <s v="Lowell"/>
    <s v="Massachusetts"/>
    <n v="1852"/>
    <x v="3"/>
    <s v="OFF-AR-10001374"/>
    <x v="1"/>
    <x v="6"/>
    <x v="313"/>
    <n v="12.96"/>
    <n v="2"/>
    <x v="0"/>
    <x v="343"/>
    <s v="Valid"/>
    <n v="267.07"/>
    <n v="656.2656164"/>
    <s v="Normal"/>
    <n v="4"/>
    <n v="0.31999999999999995"/>
    <n v="12.96"/>
  </r>
  <r>
    <n v="350"/>
    <s v="CA-2016-129714"/>
    <x v="142"/>
    <d v="2016-09-03T00:00:00"/>
    <x v="2"/>
    <s v="AB-10060"/>
    <s v="Adam Bellavance"/>
    <x v="2"/>
    <s v="United States"/>
    <s v="New York City"/>
    <s v="New York"/>
    <n v="10009"/>
    <x v="3"/>
    <s v="TEC-AC-10000290"/>
    <x v="2"/>
    <x v="11"/>
    <x v="235"/>
    <n v="6.79"/>
    <n v="1"/>
    <x v="0"/>
    <x v="344"/>
    <s v="Valid"/>
    <n v="267.07"/>
    <n v="656.2656164"/>
    <s v="Normal"/>
    <n v="2"/>
    <n v="0.34"/>
    <n v="6.79"/>
  </r>
  <r>
    <n v="351"/>
    <s v="CA-2016-129714"/>
    <x v="142"/>
    <d v="2016-09-03T00:00:00"/>
    <x v="2"/>
    <s v="AB-10060"/>
    <s v="Adam Bellavance"/>
    <x v="2"/>
    <s v="United States"/>
    <s v="New York City"/>
    <s v="New York"/>
    <n v="10009"/>
    <x v="3"/>
    <s v="OFF-PA-10001970"/>
    <x v="1"/>
    <x v="10"/>
    <x v="314"/>
    <n v="24.56"/>
    <n v="2"/>
    <x v="0"/>
    <x v="342"/>
    <s v="Valid"/>
    <n v="267.07"/>
    <n v="656.2656164"/>
    <s v="Normal"/>
    <n v="2"/>
    <n v="0.47000000000000003"/>
    <n v="24.56"/>
  </r>
  <r>
    <n v="352"/>
    <s v="CA-2016-129714"/>
    <x v="142"/>
    <d v="2016-09-03T00:00:00"/>
    <x v="2"/>
    <s v="AB-10060"/>
    <s v="Adam Bellavance"/>
    <x v="2"/>
    <s v="United States"/>
    <s v="New York City"/>
    <s v="New York"/>
    <n v="10009"/>
    <x v="3"/>
    <s v="OFF-BI-10002160"/>
    <x v="1"/>
    <x v="8"/>
    <x v="315"/>
    <n v="3.048"/>
    <n v="1"/>
    <x v="2"/>
    <x v="345"/>
    <s v="Valid"/>
    <n v="267.07"/>
    <n v="656.2656164"/>
    <s v="Normal"/>
    <n v="2"/>
    <n v="0.35"/>
    <n v="2.4384000000000001"/>
  </r>
  <r>
    <n v="353"/>
    <s v="CA-2016-129714"/>
    <x v="142"/>
    <d v="2016-09-03T00:00:00"/>
    <x v="2"/>
    <s v="AB-10060"/>
    <s v="Adam Bellavance"/>
    <x v="2"/>
    <s v="United States"/>
    <s v="New York City"/>
    <s v="New York"/>
    <n v="10009"/>
    <x v="3"/>
    <s v="OFF-PA-10001970"/>
    <x v="1"/>
    <x v="10"/>
    <x v="314"/>
    <n v="49.12"/>
    <n v="4"/>
    <x v="0"/>
    <x v="346"/>
    <s v="Valid"/>
    <n v="267.07"/>
    <n v="656.2656164"/>
    <s v="Normal"/>
    <n v="2"/>
    <n v="0.47000000000000003"/>
    <n v="49.12"/>
  </r>
  <r>
    <n v="354"/>
    <s v="CA-2016-129714"/>
    <x v="142"/>
    <d v="2016-09-03T00:00:00"/>
    <x v="2"/>
    <s v="AB-10060"/>
    <s v="Adam Bellavance"/>
    <x v="2"/>
    <s v="United States"/>
    <s v="New York City"/>
    <s v="New York"/>
    <n v="10009"/>
    <x v="3"/>
    <s v="OFF-BI-10004995"/>
    <x v="1"/>
    <x v="8"/>
    <x v="316"/>
    <n v="4355.1679999999997"/>
    <n v="4"/>
    <x v="2"/>
    <x v="347"/>
    <s v="Valid"/>
    <n v="267.07"/>
    <n v="656.2656164"/>
    <s v="High Outlier"/>
    <n v="2"/>
    <n v="0.32500000000000001"/>
    <n v="3484.1343999999999"/>
  </r>
  <r>
    <n v="355"/>
    <s v="CA-2016-138520"/>
    <x v="143"/>
    <d v="2016-04-13T00:00:00"/>
    <x v="1"/>
    <s v="JL-15505"/>
    <s v="Jeremy Lonsdale"/>
    <x v="0"/>
    <s v="United States"/>
    <s v="New York City"/>
    <s v="New York"/>
    <n v="10035"/>
    <x v="3"/>
    <s v="FUR-BO-10002268"/>
    <x v="0"/>
    <x v="0"/>
    <x v="317"/>
    <n v="388.70400000000001"/>
    <n v="6"/>
    <x v="2"/>
    <x v="348"/>
    <s v="Valid"/>
    <n v="267.07"/>
    <n v="656.2656164"/>
    <s v="Normal"/>
    <n v="5"/>
    <n v="-1.2499999999999999E-2"/>
    <n v="310.96320000000003"/>
  </r>
  <r>
    <n v="356"/>
    <s v="CA-2016-138520"/>
    <x v="143"/>
    <d v="2016-04-13T00:00:00"/>
    <x v="1"/>
    <s v="JL-15505"/>
    <s v="Jeremy Lonsdale"/>
    <x v="0"/>
    <s v="United States"/>
    <s v="New York City"/>
    <s v="New York"/>
    <n v="10035"/>
    <x v="3"/>
    <s v="OFF-EN-10001137"/>
    <x v="1"/>
    <x v="12"/>
    <x v="318"/>
    <n v="8.26"/>
    <n v="2"/>
    <x v="0"/>
    <x v="349"/>
    <s v="Valid"/>
    <n v="267.07"/>
    <n v="656.2656164"/>
    <s v="Normal"/>
    <n v="5"/>
    <n v="0.46"/>
    <n v="8.26"/>
  </r>
  <r>
    <n v="357"/>
    <s v="CA-2016-138520"/>
    <x v="143"/>
    <d v="2016-04-13T00:00:00"/>
    <x v="1"/>
    <s v="JL-15505"/>
    <s v="Jeremy Lonsdale"/>
    <x v="0"/>
    <s v="United States"/>
    <s v="New York City"/>
    <s v="New York"/>
    <n v="10035"/>
    <x v="3"/>
    <s v="OFF-AR-10002399"/>
    <x v="1"/>
    <x v="6"/>
    <x v="319"/>
    <n v="17.04"/>
    <n v="4"/>
    <x v="0"/>
    <x v="350"/>
    <s v="Valid"/>
    <n v="267.07"/>
    <n v="656.2656164"/>
    <s v="Normal"/>
    <n v="5"/>
    <n v="0.41000000000000003"/>
    <n v="17.04"/>
  </r>
  <r>
    <n v="358"/>
    <s v="CA-2016-138520"/>
    <x v="143"/>
    <d v="2016-04-13T00:00:00"/>
    <x v="1"/>
    <s v="JL-15505"/>
    <s v="Jeremy Lonsdale"/>
    <x v="0"/>
    <s v="United States"/>
    <s v="New York City"/>
    <s v="New York"/>
    <n v="10035"/>
    <x v="3"/>
    <s v="OFF-PA-10002713"/>
    <x v="1"/>
    <x v="10"/>
    <x v="320"/>
    <n v="34.4"/>
    <n v="5"/>
    <x v="0"/>
    <x v="351"/>
    <s v="Valid"/>
    <n v="267.07"/>
    <n v="656.2656164"/>
    <s v="Normal"/>
    <n v="5"/>
    <n v="0.46"/>
    <n v="34.4"/>
  </r>
  <r>
    <n v="359"/>
    <s v="CA-2016-130001"/>
    <x v="131"/>
    <d v="2016-04-28T00:00:00"/>
    <x v="1"/>
    <s v="HK-14890"/>
    <s v="Heather Kirkland"/>
    <x v="1"/>
    <s v="United States"/>
    <s v="Charlotte"/>
    <s v="North Carolina"/>
    <n v="28205"/>
    <x v="0"/>
    <s v="OFF-PA-10002666"/>
    <x v="1"/>
    <x v="10"/>
    <x v="188"/>
    <n v="36.24"/>
    <n v="5"/>
    <x v="2"/>
    <x v="352"/>
    <s v="Valid"/>
    <n v="267.07"/>
    <n v="656.2656164"/>
    <s v="Normal"/>
    <n v="5"/>
    <n v="0.31249999999999994"/>
    <n v="28.992000000000004"/>
  </r>
  <r>
    <n v="360"/>
    <s v="CA-2017-155698"/>
    <x v="144"/>
    <d v="2017-03-11T00:00:00"/>
    <x v="2"/>
    <s v="VB-21745"/>
    <s v="Victoria Brennan"/>
    <x v="1"/>
    <s v="United States"/>
    <s v="Columbus"/>
    <s v="Georgia"/>
    <n v="31907"/>
    <x v="0"/>
    <s v="OFF-AP-10001124"/>
    <x v="1"/>
    <x v="9"/>
    <x v="321"/>
    <n v="647.84"/>
    <n v="8"/>
    <x v="0"/>
    <x v="353"/>
    <s v="Valid"/>
    <n v="267.07"/>
    <n v="656.2656164"/>
    <s v="Normal"/>
    <n v="3"/>
    <n v="0.26"/>
    <n v="647.84"/>
  </r>
  <r>
    <n v="361"/>
    <s v="CA-2017-155698"/>
    <x v="144"/>
    <d v="2017-03-11T00:00:00"/>
    <x v="2"/>
    <s v="VB-21745"/>
    <s v="Victoria Brennan"/>
    <x v="1"/>
    <s v="United States"/>
    <s v="Columbus"/>
    <s v="Georgia"/>
    <n v="31907"/>
    <x v="0"/>
    <s v="OFF-LA-10001158"/>
    <x v="1"/>
    <x v="2"/>
    <x v="322"/>
    <n v="20.7"/>
    <n v="2"/>
    <x v="0"/>
    <x v="354"/>
    <s v="Valid"/>
    <n v="267.07"/>
    <n v="656.2656164"/>
    <s v="Normal"/>
    <n v="3"/>
    <n v="0.48000000000000004"/>
    <n v="20.7"/>
  </r>
  <r>
    <n v="362"/>
    <s v="CA-2017-144904"/>
    <x v="145"/>
    <d v="2017-10-01T00:00:00"/>
    <x v="1"/>
    <s v="KW-16435"/>
    <s v="Katrina Willman"/>
    <x v="0"/>
    <s v="United States"/>
    <s v="New York City"/>
    <s v="New York"/>
    <n v="10009"/>
    <x v="3"/>
    <s v="OFF-LA-10001158"/>
    <x v="1"/>
    <x v="2"/>
    <x v="322"/>
    <n v="20.7"/>
    <n v="2"/>
    <x v="0"/>
    <x v="354"/>
    <s v="Valid"/>
    <n v="267.07"/>
    <n v="656.2656164"/>
    <s v="Normal"/>
    <n v="6"/>
    <n v="0.48000000000000004"/>
    <n v="20.7"/>
  </r>
  <r>
    <n v="363"/>
    <s v="CA-2017-144904"/>
    <x v="145"/>
    <d v="2017-10-01T00:00:00"/>
    <x v="1"/>
    <s v="KW-16435"/>
    <s v="Katrina Willman"/>
    <x v="0"/>
    <s v="United States"/>
    <s v="New York City"/>
    <s v="New York"/>
    <n v="10009"/>
    <x v="3"/>
    <s v="FUR-CH-10000785"/>
    <x v="0"/>
    <x v="1"/>
    <x v="323"/>
    <n v="488.64600000000002"/>
    <n v="3"/>
    <x v="9"/>
    <x v="355"/>
    <s v="Valid"/>
    <n v="267.07"/>
    <n v="656.2656164"/>
    <s v="Normal"/>
    <n v="6"/>
    <n v="0.17777777777777778"/>
    <n v="439.78140000000002"/>
  </r>
  <r>
    <n v="364"/>
    <s v="CA-2017-144904"/>
    <x v="145"/>
    <d v="2017-10-01T00:00:00"/>
    <x v="1"/>
    <s v="KW-16435"/>
    <s v="Katrina Willman"/>
    <x v="0"/>
    <s v="United States"/>
    <s v="New York City"/>
    <s v="New York"/>
    <n v="10009"/>
    <x v="3"/>
    <s v="OFF-AR-10003732"/>
    <x v="1"/>
    <x v="6"/>
    <x v="324"/>
    <n v="5.56"/>
    <n v="2"/>
    <x v="0"/>
    <x v="356"/>
    <s v="Valid"/>
    <n v="267.07"/>
    <n v="656.2656164"/>
    <s v="Normal"/>
    <n v="6"/>
    <n v="0.26"/>
    <n v="5.56"/>
  </r>
  <r>
    <n v="365"/>
    <s v="CA-2017-144904"/>
    <x v="145"/>
    <d v="2017-10-01T00:00:00"/>
    <x v="1"/>
    <s v="KW-16435"/>
    <s v="Katrina Willman"/>
    <x v="0"/>
    <s v="United States"/>
    <s v="New York City"/>
    <s v="New York"/>
    <n v="10009"/>
    <x v="3"/>
    <s v="FUR-FU-10000023"/>
    <x v="0"/>
    <x v="5"/>
    <x v="325"/>
    <n v="47.12"/>
    <n v="8"/>
    <x v="0"/>
    <x v="357"/>
    <s v="Valid"/>
    <n v="267.07"/>
    <n v="656.2656164"/>
    <s v="Normal"/>
    <n v="6"/>
    <n v="0.44000000000000006"/>
    <n v="47.12"/>
  </r>
  <r>
    <n v="366"/>
    <s v="CA-2014-123344"/>
    <x v="146"/>
    <d v="2014-09-29T00:00:00"/>
    <x v="1"/>
    <s v="JD-16060"/>
    <s v="Julia Dunbar"/>
    <x v="0"/>
    <s v="United States"/>
    <s v="San Francisco"/>
    <s v="California"/>
    <n v="94109"/>
    <x v="1"/>
    <s v="OFF-ST-10001713"/>
    <x v="1"/>
    <x v="4"/>
    <x v="45"/>
    <n v="211.96"/>
    <n v="4"/>
    <x v="0"/>
    <x v="46"/>
    <s v="Valid"/>
    <n v="267.07"/>
    <n v="656.2656164"/>
    <s v="Normal"/>
    <n v="5"/>
    <n v="0.04"/>
    <n v="211.96"/>
  </r>
  <r>
    <n v="367"/>
    <s v="CA-2016-155516"/>
    <x v="147"/>
    <d v="2016-10-21T00:00:00"/>
    <x v="3"/>
    <s v="MK-17905"/>
    <s v="Michael Kennedy"/>
    <x v="1"/>
    <s v="United States"/>
    <s v="Manchester"/>
    <s v="Connecticut"/>
    <n v="6040"/>
    <x v="3"/>
    <s v="OFF-BI-10002412"/>
    <x v="1"/>
    <x v="8"/>
    <x v="326"/>
    <n v="23.2"/>
    <n v="4"/>
    <x v="0"/>
    <x v="358"/>
    <s v="Valid"/>
    <n v="267.07"/>
    <n v="656.2656164"/>
    <s v="Normal"/>
    <n v="0"/>
    <n v="0.45"/>
    <n v="23.2"/>
  </r>
  <r>
    <n v="368"/>
    <s v="CA-2016-155516"/>
    <x v="147"/>
    <d v="2016-10-21T00:00:00"/>
    <x v="3"/>
    <s v="MK-17905"/>
    <s v="Michael Kennedy"/>
    <x v="1"/>
    <s v="United States"/>
    <s v="Manchester"/>
    <s v="Connecticut"/>
    <n v="6040"/>
    <x v="3"/>
    <s v="OFF-SU-10001225"/>
    <x v="1"/>
    <x v="14"/>
    <x v="327"/>
    <n v="7.36"/>
    <n v="2"/>
    <x v="0"/>
    <x v="359"/>
    <s v="Valid"/>
    <n v="267.07"/>
    <n v="656.2656164"/>
    <s v="Normal"/>
    <n v="0"/>
    <n v="0.02"/>
    <n v="7.36"/>
  </r>
  <r>
    <n v="369"/>
    <s v="CA-2016-155516"/>
    <x v="147"/>
    <d v="2016-10-21T00:00:00"/>
    <x v="3"/>
    <s v="MK-17905"/>
    <s v="Michael Kennedy"/>
    <x v="1"/>
    <s v="United States"/>
    <s v="Manchester"/>
    <s v="Connecticut"/>
    <n v="6040"/>
    <x v="3"/>
    <s v="OFF-ST-10002406"/>
    <x v="1"/>
    <x v="4"/>
    <x v="328"/>
    <n v="104.79"/>
    <n v="7"/>
    <x v="0"/>
    <x v="360"/>
    <s v="Valid"/>
    <n v="267.07"/>
    <n v="656.2656164"/>
    <s v="Normal"/>
    <n v="0"/>
    <n v="0.27999999999999997"/>
    <n v="104.79"/>
  </r>
  <r>
    <n v="370"/>
    <s v="CA-2016-155516"/>
    <x v="147"/>
    <d v="2016-10-21T00:00:00"/>
    <x v="3"/>
    <s v="MK-17905"/>
    <s v="Michael Kennedy"/>
    <x v="1"/>
    <s v="United States"/>
    <s v="Manchester"/>
    <s v="Connecticut"/>
    <n v="6040"/>
    <x v="3"/>
    <s v="FUR-BO-10002545"/>
    <x v="0"/>
    <x v="0"/>
    <x v="37"/>
    <n v="1043.92"/>
    <n v="4"/>
    <x v="0"/>
    <x v="361"/>
    <s v="Valid"/>
    <n v="267.07"/>
    <n v="656.2656164"/>
    <s v="Normal"/>
    <n v="0"/>
    <n v="0.25999999999999995"/>
    <n v="1043.92"/>
  </r>
  <r>
    <n v="371"/>
    <s v="CA-2017-104745"/>
    <x v="148"/>
    <d v="2017-06-04T00:00:00"/>
    <x v="1"/>
    <s v="GT-14755"/>
    <s v="Guy Thornton"/>
    <x v="0"/>
    <s v="United States"/>
    <s v="Harlingen"/>
    <s v="Texas"/>
    <n v="78550"/>
    <x v="2"/>
    <s v="OFF-PA-10002036"/>
    <x v="1"/>
    <x v="10"/>
    <x v="329"/>
    <n v="25.92"/>
    <n v="5"/>
    <x v="2"/>
    <x v="235"/>
    <s v="Valid"/>
    <n v="267.07"/>
    <n v="656.2656164"/>
    <s v="Normal"/>
    <n v="6"/>
    <n v="0.36249999999999999"/>
    <n v="20.736000000000004"/>
  </r>
  <r>
    <n v="372"/>
    <s v="CA-2017-104745"/>
    <x v="148"/>
    <d v="2017-06-04T00:00:00"/>
    <x v="1"/>
    <s v="GT-14755"/>
    <s v="Guy Thornton"/>
    <x v="0"/>
    <s v="United States"/>
    <s v="Harlingen"/>
    <s v="Texas"/>
    <n v="78550"/>
    <x v="2"/>
    <s v="OFF-ST-10002205"/>
    <x v="1"/>
    <x v="4"/>
    <x v="330"/>
    <n v="53.423999999999999"/>
    <n v="3"/>
    <x v="2"/>
    <x v="362"/>
    <s v="Valid"/>
    <n v="267.07"/>
    <n v="656.2656164"/>
    <s v="Normal"/>
    <n v="6"/>
    <n v="8.7499999999999994E-2"/>
    <n v="42.739200000000004"/>
  </r>
  <r>
    <n v="373"/>
    <s v="US-2014-119137"/>
    <x v="149"/>
    <d v="2014-07-27T00:00:00"/>
    <x v="1"/>
    <s v="AG-10900"/>
    <s v="Arthur Gainer"/>
    <x v="0"/>
    <s v="United States"/>
    <s v="Tucson"/>
    <s v="Arizona"/>
    <n v="85705"/>
    <x v="1"/>
    <s v="OFF-BI-10001982"/>
    <x v="1"/>
    <x v="8"/>
    <x v="304"/>
    <n v="8.16"/>
    <n v="5"/>
    <x v="6"/>
    <x v="363"/>
    <s v="Valid"/>
    <n v="267.07"/>
    <n v="656.2656164"/>
    <s v="Normal"/>
    <n v="4"/>
    <n v="-0.7"/>
    <n v="2.4480000000000004"/>
  </r>
  <r>
    <n v="374"/>
    <s v="US-2014-119137"/>
    <x v="149"/>
    <d v="2014-07-27T00:00:00"/>
    <x v="1"/>
    <s v="AG-10900"/>
    <s v="Arthur Gainer"/>
    <x v="0"/>
    <s v="United States"/>
    <s v="Tucson"/>
    <s v="Arizona"/>
    <n v="85705"/>
    <x v="1"/>
    <s v="TEC-AC-10003911"/>
    <x v="2"/>
    <x v="11"/>
    <x v="331"/>
    <n v="1023.936"/>
    <n v="8"/>
    <x v="2"/>
    <x v="364"/>
    <s v="Valid"/>
    <n v="267.07"/>
    <n v="656.2656164"/>
    <s v="Normal"/>
    <n v="4"/>
    <n v="0.17499999999999999"/>
    <n v="819.14880000000005"/>
  </r>
  <r>
    <n v="375"/>
    <s v="US-2014-119137"/>
    <x v="149"/>
    <d v="2014-07-27T00:00:00"/>
    <x v="1"/>
    <s v="AG-10900"/>
    <s v="Arthur Gainer"/>
    <x v="0"/>
    <s v="United States"/>
    <s v="Tucson"/>
    <s v="Arizona"/>
    <n v="85705"/>
    <x v="1"/>
    <s v="OFF-AR-10000658"/>
    <x v="1"/>
    <x v="6"/>
    <x v="332"/>
    <n v="9.24"/>
    <n v="1"/>
    <x v="2"/>
    <x v="365"/>
    <s v="Valid"/>
    <n v="267.07"/>
    <n v="656.2656164"/>
    <s v="Normal"/>
    <n v="4"/>
    <n v="0.1"/>
    <n v="7.3920000000000003"/>
  </r>
  <r>
    <n v="376"/>
    <s v="US-2014-119137"/>
    <x v="149"/>
    <d v="2014-07-27T00:00:00"/>
    <x v="1"/>
    <s v="AG-10900"/>
    <s v="Arthur Gainer"/>
    <x v="0"/>
    <s v="United States"/>
    <s v="Tucson"/>
    <s v="Arizona"/>
    <n v="85705"/>
    <x v="1"/>
    <s v="TEC-AC-10002076"/>
    <x v="2"/>
    <x v="11"/>
    <x v="333"/>
    <n v="479.04"/>
    <n v="10"/>
    <x v="2"/>
    <x v="366"/>
    <s v="Valid"/>
    <n v="267.07"/>
    <n v="656.2656164"/>
    <s v="Normal"/>
    <n v="4"/>
    <n v="-6.25E-2"/>
    <n v="383.23200000000003"/>
  </r>
  <r>
    <n v="377"/>
    <s v="US-2016-134656"/>
    <x v="150"/>
    <d v="2016-10-01T00:00:00"/>
    <x v="2"/>
    <s v="MM-18280"/>
    <s v="Muhammed MacIntyre"/>
    <x v="1"/>
    <s v="United States"/>
    <s v="Quincy"/>
    <s v="Illinois"/>
    <n v="62301"/>
    <x v="2"/>
    <s v="OFF-PA-10003039"/>
    <x v="1"/>
    <x v="10"/>
    <x v="334"/>
    <n v="99.135999999999996"/>
    <n v="4"/>
    <x v="2"/>
    <x v="367"/>
    <s v="Valid"/>
    <n v="267.07"/>
    <n v="656.2656164"/>
    <s v="Normal"/>
    <n v="3"/>
    <n v="0.3125"/>
    <n v="79.308800000000005"/>
  </r>
  <r>
    <n v="378"/>
    <s v="US-2017-134481"/>
    <x v="151"/>
    <d v="2017-09-01T00:00:00"/>
    <x v="1"/>
    <s v="AR-10405"/>
    <s v="Allen Rosenblatt"/>
    <x v="1"/>
    <s v="United States"/>
    <s v="Franklin"/>
    <s v="Massachusetts"/>
    <n v="2038"/>
    <x v="3"/>
    <s v="FUR-TA-10004915"/>
    <x v="0"/>
    <x v="3"/>
    <x v="335"/>
    <n v="1488.424"/>
    <n v="7"/>
    <x v="4"/>
    <x v="368"/>
    <s v="Valid"/>
    <n v="267.07"/>
    <n v="656.2656164"/>
    <s v="Normal"/>
    <n v="5"/>
    <n v="-0.2"/>
    <n v="1041.8968"/>
  </r>
  <r>
    <n v="379"/>
    <s v="CA-2015-130792"/>
    <x v="152"/>
    <d v="2015-05-05T00:00:00"/>
    <x v="1"/>
    <s v="RA-19915"/>
    <s v="Russell Applegate"/>
    <x v="0"/>
    <s v="United States"/>
    <s v="Houston"/>
    <s v="Texas"/>
    <n v="77095"/>
    <x v="2"/>
    <s v="OFF-AP-10000696"/>
    <x v="1"/>
    <x v="9"/>
    <x v="336"/>
    <n v="8.6519999999999992"/>
    <n v="3"/>
    <x v="3"/>
    <x v="369"/>
    <s v="Valid"/>
    <n v="267.07"/>
    <n v="656.2656164"/>
    <s v="Normal"/>
    <n v="7"/>
    <n v="-2.35"/>
    <n v="1.7303999999999995"/>
  </r>
  <r>
    <n v="380"/>
    <s v="CA-2015-130792"/>
    <x v="152"/>
    <d v="2015-05-05T00:00:00"/>
    <x v="1"/>
    <s v="RA-19915"/>
    <s v="Russell Applegate"/>
    <x v="0"/>
    <s v="United States"/>
    <s v="Houston"/>
    <s v="Texas"/>
    <n v="77095"/>
    <x v="2"/>
    <s v="OFF-ST-10003327"/>
    <x v="1"/>
    <x v="4"/>
    <x v="337"/>
    <n v="23.832000000000001"/>
    <n v="3"/>
    <x v="2"/>
    <x v="370"/>
    <s v="Valid"/>
    <n v="267.07"/>
    <n v="656.2656164"/>
    <s v="Normal"/>
    <n v="7"/>
    <n v="0.11249999999999999"/>
    <n v="19.0656"/>
  </r>
  <r>
    <n v="381"/>
    <s v="CA-2015-130792"/>
    <x v="152"/>
    <d v="2015-05-05T00:00:00"/>
    <x v="1"/>
    <s v="RA-19915"/>
    <s v="Russell Applegate"/>
    <x v="0"/>
    <s v="United States"/>
    <s v="Houston"/>
    <s v="Texas"/>
    <n v="77095"/>
    <x v="2"/>
    <s v="OFF-BI-10000309"/>
    <x v="1"/>
    <x v="8"/>
    <x v="338"/>
    <n v="12.176"/>
    <n v="4"/>
    <x v="3"/>
    <x v="371"/>
    <s v="Valid"/>
    <n v="267.07"/>
    <n v="656.2656164"/>
    <s v="Normal"/>
    <n v="7"/>
    <n v="-1.55"/>
    <n v="2.4351999999999996"/>
  </r>
  <r>
    <n v="382"/>
    <s v="CA-2016-134775"/>
    <x v="99"/>
    <d v="2016-10-29T00:00:00"/>
    <x v="2"/>
    <s v="AS-10285"/>
    <s v="Alejandro Savely"/>
    <x v="1"/>
    <s v="United States"/>
    <s v="San Francisco"/>
    <s v="California"/>
    <n v="94109"/>
    <x v="1"/>
    <s v="OFF-PA-10004734"/>
    <x v="1"/>
    <x v="10"/>
    <x v="339"/>
    <n v="50.96"/>
    <n v="7"/>
    <x v="0"/>
    <x v="372"/>
    <s v="Valid"/>
    <n v="267.07"/>
    <n v="656.2656164"/>
    <s v="Normal"/>
    <n v="1"/>
    <n v="0.5"/>
    <n v="50.96"/>
  </r>
  <r>
    <n v="383"/>
    <s v="CA-2016-134775"/>
    <x v="99"/>
    <d v="2016-10-29T00:00:00"/>
    <x v="2"/>
    <s v="AS-10285"/>
    <s v="Alejandro Savely"/>
    <x v="1"/>
    <s v="United States"/>
    <s v="San Francisco"/>
    <s v="California"/>
    <n v="94109"/>
    <x v="1"/>
    <s v="OFF-BI-10002225"/>
    <x v="1"/>
    <x v="8"/>
    <x v="340"/>
    <n v="49.536000000000001"/>
    <n v="3"/>
    <x v="2"/>
    <x v="373"/>
    <s v="Valid"/>
    <n v="267.07"/>
    <n v="656.2656164"/>
    <s v="Normal"/>
    <n v="1"/>
    <n v="0.35"/>
    <n v="39.628800000000005"/>
  </r>
  <r>
    <n v="384"/>
    <s v="CA-2015-125395"/>
    <x v="153"/>
    <d v="2015-06-29T00:00:00"/>
    <x v="0"/>
    <s v="LA-16780"/>
    <s v="Laura Armstrong"/>
    <x v="1"/>
    <s v="United States"/>
    <s v="Taylor"/>
    <s v="Michigan"/>
    <n v="48180"/>
    <x v="2"/>
    <s v="TEC-AC-10004708"/>
    <x v="2"/>
    <x v="11"/>
    <x v="341"/>
    <n v="41.9"/>
    <n v="2"/>
    <x v="0"/>
    <x v="374"/>
    <s v="Valid"/>
    <n v="267.07"/>
    <n v="656.2656164"/>
    <s v="Normal"/>
    <n v="3"/>
    <n v="0.21"/>
    <n v="41.9"/>
  </r>
  <r>
    <n v="385"/>
    <s v="US-2015-168935"/>
    <x v="154"/>
    <d v="2015-12-02T00:00:00"/>
    <x v="1"/>
    <s v="DO-13435"/>
    <s v="Denny Ordway"/>
    <x v="0"/>
    <s v="United States"/>
    <s v="Pembroke Pines"/>
    <s v="Florida"/>
    <n v="33024"/>
    <x v="0"/>
    <s v="FUR-TA-10000617"/>
    <x v="0"/>
    <x v="3"/>
    <x v="342"/>
    <n v="375.45749999999998"/>
    <n v="3"/>
    <x v="1"/>
    <x v="375"/>
    <s v="Valid"/>
    <n v="267.07"/>
    <n v="656.2656164"/>
    <s v="Normal"/>
    <n v="5"/>
    <n v="-0.41818181818181821"/>
    <n v="206.50162500000002"/>
  </r>
  <r>
    <n v="386"/>
    <s v="US-2015-168935"/>
    <x v="154"/>
    <d v="2015-12-02T00:00:00"/>
    <x v="1"/>
    <s v="DO-13435"/>
    <s v="Denny Ordway"/>
    <x v="0"/>
    <s v="United States"/>
    <s v="Pembroke Pines"/>
    <s v="Florida"/>
    <n v="33024"/>
    <x v="0"/>
    <s v="TEC-AC-10002335"/>
    <x v="2"/>
    <x v="11"/>
    <x v="343"/>
    <n v="83.975999999999999"/>
    <n v="3"/>
    <x v="2"/>
    <x v="376"/>
    <s v="Valid"/>
    <n v="267.07"/>
    <n v="656.2656164"/>
    <s v="Normal"/>
    <n v="5"/>
    <n v="-1.2500000000000001E-2"/>
    <n v="67.180800000000005"/>
  </r>
  <r>
    <n v="387"/>
    <s v="CA-2015-122756"/>
    <x v="155"/>
    <d v="2015-12-07T00:00:00"/>
    <x v="1"/>
    <s v="DK-13225"/>
    <s v="Dean Katz"/>
    <x v="1"/>
    <s v="United States"/>
    <s v="Philadelphia"/>
    <s v="Pennsylvania"/>
    <n v="19140"/>
    <x v="3"/>
    <s v="TEC-MA-10001681"/>
    <x v="2"/>
    <x v="15"/>
    <x v="344"/>
    <n v="482.34"/>
    <n v="4"/>
    <x v="6"/>
    <x v="377"/>
    <s v="Valid"/>
    <n v="267.07"/>
    <n v="656.2656164"/>
    <s v="Normal"/>
    <n v="4"/>
    <n v="-0.7"/>
    <n v="144.70200000000003"/>
  </r>
  <r>
    <n v="388"/>
    <s v="CA-2015-122756"/>
    <x v="155"/>
    <d v="2015-12-07T00:00:00"/>
    <x v="1"/>
    <s v="DK-13225"/>
    <s v="Dean Katz"/>
    <x v="1"/>
    <s v="United States"/>
    <s v="Philadelphia"/>
    <s v="Pennsylvania"/>
    <n v="19140"/>
    <x v="3"/>
    <s v="FUR-FU-10001935"/>
    <x v="0"/>
    <x v="5"/>
    <x v="345"/>
    <n v="2.96"/>
    <n v="1"/>
    <x v="2"/>
    <x v="378"/>
    <s v="Valid"/>
    <n v="267.07"/>
    <n v="656.2656164"/>
    <s v="Normal"/>
    <n v="4"/>
    <n v="0.26250000000000001"/>
    <n v="2.3679999999999999"/>
  </r>
  <r>
    <n v="389"/>
    <s v="CA-2014-115973"/>
    <x v="156"/>
    <d v="2014-11-26T00:00:00"/>
    <x v="2"/>
    <s v="NG-18430"/>
    <s v="Nathan Gelder"/>
    <x v="0"/>
    <s v="United States"/>
    <s v="Cincinnati"/>
    <s v="Ohio"/>
    <n v="45231"/>
    <x v="3"/>
    <s v="OFF-AR-10004757"/>
    <x v="1"/>
    <x v="6"/>
    <x v="346"/>
    <n v="2.6240000000000001"/>
    <n v="1"/>
    <x v="2"/>
    <x v="379"/>
    <s v="Valid"/>
    <n v="267.07"/>
    <n v="656.2656164"/>
    <s v="Normal"/>
    <n v="2"/>
    <n v="0.16250000000000001"/>
    <n v="2.0992000000000002"/>
  </r>
  <r>
    <n v="390"/>
    <s v="CA-2017-101798"/>
    <x v="157"/>
    <d v="2017-12-15T00:00:00"/>
    <x v="1"/>
    <s v="MV-18190"/>
    <s v="Mike Vittorini"/>
    <x v="0"/>
    <s v="United States"/>
    <s v="New York City"/>
    <s v="New York"/>
    <n v="10009"/>
    <x v="3"/>
    <s v="OFF-BI-10000050"/>
    <x v="1"/>
    <x v="8"/>
    <x v="347"/>
    <n v="23.36"/>
    <n v="4"/>
    <x v="2"/>
    <x v="380"/>
    <s v="Valid"/>
    <n v="267.07"/>
    <n v="656.2656164"/>
    <s v="Normal"/>
    <n v="4"/>
    <n v="0.33750000000000002"/>
    <n v="18.687999999999999"/>
  </r>
  <r>
    <n v="391"/>
    <s v="CA-2017-101798"/>
    <x v="157"/>
    <d v="2017-12-15T00:00:00"/>
    <x v="1"/>
    <s v="MV-18190"/>
    <s v="Mike Vittorini"/>
    <x v="0"/>
    <s v="United States"/>
    <s v="New York City"/>
    <s v="New York"/>
    <n v="10009"/>
    <x v="3"/>
    <s v="TEC-AC-10001998"/>
    <x v="2"/>
    <x v="11"/>
    <x v="84"/>
    <n v="39.979999999999997"/>
    <n v="2"/>
    <x v="0"/>
    <x v="381"/>
    <s v="Valid"/>
    <n v="267.07"/>
    <n v="656.2656164"/>
    <s v="Normal"/>
    <n v="4"/>
    <n v="0.34"/>
    <n v="39.979999999999997"/>
  </r>
  <r>
    <n v="392"/>
    <s v="US-2014-135972"/>
    <x v="158"/>
    <d v="2014-09-23T00:00:00"/>
    <x v="0"/>
    <s v="JG-15115"/>
    <s v="Jack Garza"/>
    <x v="0"/>
    <s v="United States"/>
    <s v="Des Moines"/>
    <s v="Washington"/>
    <n v="98198"/>
    <x v="1"/>
    <s v="TEC-PH-10003012"/>
    <x v="2"/>
    <x v="7"/>
    <x v="348"/>
    <n v="246.38399999999999"/>
    <n v="2"/>
    <x v="2"/>
    <x v="382"/>
    <s v="Valid"/>
    <n v="267.07"/>
    <n v="656.2656164"/>
    <s v="Normal"/>
    <n v="2"/>
    <n v="0.1125"/>
    <n v="197.10720000000001"/>
  </r>
  <r>
    <n v="393"/>
    <s v="US-2014-135972"/>
    <x v="158"/>
    <d v="2014-09-23T00:00:00"/>
    <x v="0"/>
    <s v="JG-15115"/>
    <s v="Jack Garza"/>
    <x v="0"/>
    <s v="United States"/>
    <s v="Des Moines"/>
    <s v="Washington"/>
    <n v="98198"/>
    <x v="1"/>
    <s v="TEC-CO-10002313"/>
    <x v="2"/>
    <x v="16"/>
    <x v="349"/>
    <n v="1799.97"/>
    <n v="3"/>
    <x v="0"/>
    <x v="383"/>
    <s v="Valid"/>
    <n v="267.07"/>
    <n v="656.2656164"/>
    <s v="Normal"/>
    <n v="2"/>
    <n v="0.38999999999999996"/>
    <n v="1799.97"/>
  </r>
  <r>
    <n v="394"/>
    <s v="US-2014-134971"/>
    <x v="159"/>
    <d v="2014-06-10T00:00:00"/>
    <x v="0"/>
    <s v="BP-11095"/>
    <s v="Bart Pistole"/>
    <x v="1"/>
    <s v="United States"/>
    <s v="Peoria"/>
    <s v="Illinois"/>
    <n v="61604"/>
    <x v="2"/>
    <s v="OFF-BI-10003982"/>
    <x v="1"/>
    <x v="8"/>
    <x v="350"/>
    <n v="12.462"/>
    <n v="3"/>
    <x v="3"/>
    <x v="384"/>
    <s v="Valid"/>
    <n v="267.07"/>
    <n v="656.2656164"/>
    <s v="Normal"/>
    <n v="3"/>
    <n v="-1.6500000000000001"/>
    <n v="2.4923999999999995"/>
  </r>
  <r>
    <n v="395"/>
    <s v="CA-2017-102946"/>
    <x v="160"/>
    <d v="2017-07-05T00:00:00"/>
    <x v="1"/>
    <s v="VP-21730"/>
    <s v="Victor Preis"/>
    <x v="2"/>
    <s v="United States"/>
    <s v="Las Vegas"/>
    <s v="Nevada"/>
    <n v="89115"/>
    <x v="1"/>
    <s v="OFF-BI-10004492"/>
    <x v="1"/>
    <x v="8"/>
    <x v="351"/>
    <n v="75.792000000000002"/>
    <n v="3"/>
    <x v="2"/>
    <x v="385"/>
    <s v="Valid"/>
    <n v="267.07"/>
    <n v="656.2656164"/>
    <s v="Normal"/>
    <n v="5"/>
    <n v="0.33749999999999997"/>
    <n v="60.633600000000001"/>
  </r>
  <r>
    <n v="396"/>
    <s v="CA-2017-165603"/>
    <x v="161"/>
    <d v="2017-10-19T00:00:00"/>
    <x v="0"/>
    <s v="SS-20140"/>
    <s v="Saphhira Shifley"/>
    <x v="1"/>
    <s v="United States"/>
    <s v="Warwick"/>
    <s v="Rhode Island"/>
    <n v="2886"/>
    <x v="3"/>
    <s v="OFF-ST-10000798"/>
    <x v="1"/>
    <x v="4"/>
    <x v="352"/>
    <n v="49.96"/>
    <n v="2"/>
    <x v="0"/>
    <x v="386"/>
    <s v="Valid"/>
    <n v="267.07"/>
    <n v="656.2656164"/>
    <s v="Normal"/>
    <n v="2"/>
    <n v="0.19"/>
    <n v="49.96"/>
  </r>
  <r>
    <n v="397"/>
    <s v="CA-2017-165603"/>
    <x v="161"/>
    <d v="2017-10-19T00:00:00"/>
    <x v="0"/>
    <s v="SS-20140"/>
    <s v="Saphhira Shifley"/>
    <x v="1"/>
    <s v="United States"/>
    <s v="Warwick"/>
    <s v="Rhode Island"/>
    <n v="2886"/>
    <x v="3"/>
    <s v="OFF-PA-10002552"/>
    <x v="1"/>
    <x v="10"/>
    <x v="353"/>
    <n v="12.96"/>
    <n v="2"/>
    <x v="0"/>
    <x v="91"/>
    <s v="Valid"/>
    <n v="267.07"/>
    <n v="656.2656164"/>
    <s v="Normal"/>
    <n v="2"/>
    <n v="0.47999999999999993"/>
    <n v="12.96"/>
  </r>
  <r>
    <n v="398"/>
    <s v="CA-2015-122259"/>
    <x v="89"/>
    <d v="2015-11-04T00:00:00"/>
    <x v="1"/>
    <s v="HP-14815"/>
    <s v="Harold Pawlan"/>
    <x v="2"/>
    <s v="United States"/>
    <s v="Jackson"/>
    <s v="Michigan"/>
    <n v="49201"/>
    <x v="2"/>
    <s v="OFF-SU-10002573"/>
    <x v="1"/>
    <x v="14"/>
    <x v="354"/>
    <n v="70.12"/>
    <n v="4"/>
    <x v="0"/>
    <x v="387"/>
    <s v="Valid"/>
    <n v="267.07"/>
    <n v="656.2656164"/>
    <s v="Normal"/>
    <n v="4"/>
    <n v="0.3"/>
    <n v="70.12"/>
  </r>
  <r>
    <n v="399"/>
    <s v="CA-2016-108987"/>
    <x v="162"/>
    <d v="2016-09-10T00:00:00"/>
    <x v="0"/>
    <s v="AG-10675"/>
    <s v="Anna Gayman"/>
    <x v="0"/>
    <s v="United States"/>
    <s v="Houston"/>
    <s v="Texas"/>
    <n v="77036"/>
    <x v="2"/>
    <s v="OFF-ST-10001580"/>
    <x v="1"/>
    <x v="4"/>
    <x v="355"/>
    <n v="35.951999999999998"/>
    <n v="3"/>
    <x v="2"/>
    <x v="388"/>
    <s v="Valid"/>
    <n v="267.07"/>
    <n v="656.2656164"/>
    <s v="Normal"/>
    <n v="2"/>
    <n v="0.1"/>
    <n v="28.761600000000001"/>
  </r>
  <r>
    <n v="400"/>
    <s v="CA-2016-108987"/>
    <x v="162"/>
    <d v="2016-09-10T00:00:00"/>
    <x v="0"/>
    <s v="AG-10675"/>
    <s v="Anna Gayman"/>
    <x v="0"/>
    <s v="United States"/>
    <s v="Houston"/>
    <s v="Texas"/>
    <n v="77036"/>
    <x v="2"/>
    <s v="FUR-BO-10004834"/>
    <x v="0"/>
    <x v="0"/>
    <x v="26"/>
    <n v="2396.2656000000002"/>
    <n v="4"/>
    <x v="8"/>
    <x v="389"/>
    <s v="Valid"/>
    <n v="267.07"/>
    <n v="656.2656164"/>
    <s v="High Outlier"/>
    <n v="2"/>
    <n v="-0.13235294117647059"/>
    <n v="1629.4606079999999"/>
  </r>
  <r>
    <n v="401"/>
    <s v="CA-2016-108987"/>
    <x v="162"/>
    <d v="2016-09-10T00:00:00"/>
    <x v="0"/>
    <s v="AG-10675"/>
    <s v="Anna Gayman"/>
    <x v="0"/>
    <s v="United States"/>
    <s v="Houston"/>
    <s v="Texas"/>
    <n v="77036"/>
    <x v="2"/>
    <s v="OFF-ST-10000934"/>
    <x v="1"/>
    <x v="4"/>
    <x v="356"/>
    <n v="131.136"/>
    <n v="4"/>
    <x v="2"/>
    <x v="390"/>
    <s v="Valid"/>
    <n v="267.07"/>
    <n v="656.2656164"/>
    <s v="Normal"/>
    <n v="2"/>
    <n v="-0.25"/>
    <n v="104.9088"/>
  </r>
  <r>
    <n v="402"/>
    <s v="CA-2016-108987"/>
    <x v="162"/>
    <d v="2016-09-10T00:00:00"/>
    <x v="0"/>
    <s v="AG-10675"/>
    <s v="Anna Gayman"/>
    <x v="0"/>
    <s v="United States"/>
    <s v="Houston"/>
    <s v="Texas"/>
    <n v="77036"/>
    <x v="2"/>
    <s v="TEC-AC-10000158"/>
    <x v="2"/>
    <x v="11"/>
    <x v="357"/>
    <n v="57.584000000000003"/>
    <n v="2"/>
    <x v="2"/>
    <x v="391"/>
    <s v="Valid"/>
    <n v="267.07"/>
    <n v="656.2656164"/>
    <s v="Normal"/>
    <n v="2"/>
    <n v="1.2499999999999999E-2"/>
    <n v="46.067200000000007"/>
  </r>
  <r>
    <n v="403"/>
    <s v="CA-2014-113166"/>
    <x v="163"/>
    <d v="2014-12-26T00:00:00"/>
    <x v="2"/>
    <s v="LF-17185"/>
    <s v="Luke Foster"/>
    <x v="0"/>
    <s v="United States"/>
    <s v="Miami"/>
    <s v="Florida"/>
    <n v="33180"/>
    <x v="0"/>
    <s v="OFF-PA-10001947"/>
    <x v="1"/>
    <x v="10"/>
    <x v="358"/>
    <n v="9.5679999999999996"/>
    <n v="2"/>
    <x v="2"/>
    <x v="392"/>
    <s v="Valid"/>
    <n v="267.07"/>
    <n v="656.2656164"/>
    <s v="Normal"/>
    <n v="2"/>
    <n v="0.36249999999999999"/>
    <n v="7.6543999999999999"/>
  </r>
  <r>
    <n v="404"/>
    <s v="CA-2014-155208"/>
    <x v="164"/>
    <d v="2014-04-20T00:00:00"/>
    <x v="1"/>
    <s v="SP-20650"/>
    <s v="Stephanie Phelps"/>
    <x v="1"/>
    <s v="United States"/>
    <s v="Wilmington"/>
    <s v="North Carolina"/>
    <n v="28403"/>
    <x v="0"/>
    <s v="OFF-AR-10003478"/>
    <x v="1"/>
    <x v="6"/>
    <x v="359"/>
    <n v="39.072000000000003"/>
    <n v="6"/>
    <x v="2"/>
    <x v="393"/>
    <s v="Valid"/>
    <n v="267.07"/>
    <n v="656.2656164"/>
    <s v="Normal"/>
    <n v="4"/>
    <n v="0.25"/>
    <n v="31.257600000000004"/>
  </r>
  <r>
    <n v="405"/>
    <s v="CA-2017-117933"/>
    <x v="165"/>
    <d v="2017-12-29T00:00:00"/>
    <x v="1"/>
    <s v="RF-19840"/>
    <s v="Roy Französisch"/>
    <x v="0"/>
    <s v="United States"/>
    <s v="New York City"/>
    <s v="New York"/>
    <n v="10024"/>
    <x v="3"/>
    <s v="OFF-AP-10004249"/>
    <x v="1"/>
    <x v="9"/>
    <x v="360"/>
    <n v="35.909999999999997"/>
    <n v="3"/>
    <x v="0"/>
    <x v="394"/>
    <s v="Valid"/>
    <n v="267.07"/>
    <n v="656.2656164"/>
    <s v="Normal"/>
    <n v="5"/>
    <n v="0.27"/>
    <n v="35.909999999999997"/>
  </r>
  <r>
    <n v="406"/>
    <s v="CA-2017-117457"/>
    <x v="166"/>
    <d v="2017-12-12T00:00:00"/>
    <x v="1"/>
    <s v="KH-16510"/>
    <s v="Keith Herrera"/>
    <x v="0"/>
    <s v="United States"/>
    <s v="San Francisco"/>
    <s v="California"/>
    <n v="94110"/>
    <x v="1"/>
    <s v="TEC-AC-10000158"/>
    <x v="2"/>
    <x v="11"/>
    <x v="357"/>
    <n v="179.95"/>
    <n v="5"/>
    <x v="0"/>
    <x v="395"/>
    <s v="Valid"/>
    <n v="267.07"/>
    <n v="656.2656164"/>
    <s v="Normal"/>
    <n v="4"/>
    <n v="0.21"/>
    <n v="179.95"/>
  </r>
  <r>
    <n v="407"/>
    <s v="CA-2017-117457"/>
    <x v="166"/>
    <d v="2017-12-12T00:00:00"/>
    <x v="1"/>
    <s v="KH-16510"/>
    <s v="Keith Herrera"/>
    <x v="0"/>
    <s v="United States"/>
    <s v="San Francisco"/>
    <s v="California"/>
    <n v="94110"/>
    <x v="1"/>
    <s v="TEC-CO-10004115"/>
    <x v="2"/>
    <x v="16"/>
    <x v="361"/>
    <n v="1199.9760000000001"/>
    <n v="3"/>
    <x v="2"/>
    <x v="396"/>
    <s v="Valid"/>
    <n v="267.07"/>
    <n v="656.2656164"/>
    <s v="Normal"/>
    <n v="4"/>
    <n v="0.36249999999999999"/>
    <n v="959.98080000000016"/>
  </r>
  <r>
    <n v="408"/>
    <s v="CA-2017-117457"/>
    <x v="166"/>
    <d v="2017-12-12T00:00:00"/>
    <x v="1"/>
    <s v="KH-16510"/>
    <s v="Keith Herrera"/>
    <x v="0"/>
    <s v="United States"/>
    <s v="San Francisco"/>
    <s v="California"/>
    <n v="94110"/>
    <x v="1"/>
    <s v="OFF-PA-10003724"/>
    <x v="1"/>
    <x v="10"/>
    <x v="362"/>
    <n v="27.15"/>
    <n v="5"/>
    <x v="0"/>
    <x v="397"/>
    <s v="Valid"/>
    <n v="267.07"/>
    <n v="656.2656164"/>
    <s v="Normal"/>
    <n v="4"/>
    <n v="0.49"/>
    <n v="27.15"/>
  </r>
  <r>
    <n v="409"/>
    <s v="CA-2017-117457"/>
    <x v="166"/>
    <d v="2017-12-12T00:00:00"/>
    <x v="1"/>
    <s v="KH-16510"/>
    <s v="Keith Herrera"/>
    <x v="0"/>
    <s v="United States"/>
    <s v="San Francisco"/>
    <s v="California"/>
    <n v="94110"/>
    <x v="1"/>
    <s v="FUR-TA-10002041"/>
    <x v="0"/>
    <x v="3"/>
    <x v="363"/>
    <n v="1004.024"/>
    <n v="7"/>
    <x v="2"/>
    <x v="398"/>
    <s v="Valid"/>
    <n v="267.07"/>
    <n v="656.2656164"/>
    <s v="Normal"/>
    <n v="4"/>
    <n v="-0.11249999999999999"/>
    <n v="803.2192"/>
  </r>
  <r>
    <n v="410"/>
    <s v="CA-2017-117457"/>
    <x v="166"/>
    <d v="2017-12-12T00:00:00"/>
    <x v="1"/>
    <s v="KH-16510"/>
    <s v="Keith Herrera"/>
    <x v="0"/>
    <s v="United States"/>
    <s v="San Francisco"/>
    <s v="California"/>
    <n v="94110"/>
    <x v="1"/>
    <s v="OFF-PA-10002893"/>
    <x v="1"/>
    <x v="10"/>
    <x v="364"/>
    <n v="9.68"/>
    <n v="1"/>
    <x v="0"/>
    <x v="399"/>
    <s v="Valid"/>
    <n v="267.07"/>
    <n v="656.2656164"/>
    <s v="Normal"/>
    <n v="4"/>
    <n v="0.48"/>
    <n v="9.68"/>
  </r>
  <r>
    <n v="411"/>
    <s v="CA-2017-117457"/>
    <x v="166"/>
    <d v="2017-12-12T00:00:00"/>
    <x v="1"/>
    <s v="KH-16510"/>
    <s v="Keith Herrera"/>
    <x v="0"/>
    <s v="United States"/>
    <s v="San Francisco"/>
    <s v="California"/>
    <n v="94110"/>
    <x v="1"/>
    <s v="OFF-LA-10003766"/>
    <x v="1"/>
    <x v="2"/>
    <x v="365"/>
    <n v="28.35"/>
    <n v="9"/>
    <x v="0"/>
    <x v="400"/>
    <s v="Valid"/>
    <n v="267.07"/>
    <n v="656.2656164"/>
    <s v="Normal"/>
    <n v="4"/>
    <n v="0.48"/>
    <n v="28.35"/>
  </r>
  <r>
    <n v="412"/>
    <s v="CA-2017-117457"/>
    <x v="166"/>
    <d v="2017-12-12T00:00:00"/>
    <x v="1"/>
    <s v="KH-16510"/>
    <s v="Keith Herrera"/>
    <x v="0"/>
    <s v="United States"/>
    <s v="San Francisco"/>
    <s v="California"/>
    <n v="94110"/>
    <x v="1"/>
    <s v="OFF-PA-10001970"/>
    <x v="1"/>
    <x v="10"/>
    <x v="366"/>
    <n v="55.98"/>
    <n v="1"/>
    <x v="0"/>
    <x v="401"/>
    <s v="Valid"/>
    <n v="267.07"/>
    <n v="656.2656164"/>
    <s v="Normal"/>
    <n v="4"/>
    <n v="0.49"/>
    <n v="55.98"/>
  </r>
  <r>
    <n v="413"/>
    <s v="CA-2017-117457"/>
    <x v="166"/>
    <d v="2017-12-12T00:00:00"/>
    <x v="1"/>
    <s v="KH-16510"/>
    <s v="Keith Herrera"/>
    <x v="0"/>
    <s v="United States"/>
    <s v="San Francisco"/>
    <s v="California"/>
    <n v="94110"/>
    <x v="1"/>
    <s v="FUR-BO-10001972"/>
    <x v="0"/>
    <x v="0"/>
    <x v="367"/>
    <n v="1336.829"/>
    <n v="13"/>
    <x v="11"/>
    <x v="402"/>
    <s v="Valid"/>
    <n v="267.07"/>
    <n v="656.2656164"/>
    <s v="Normal"/>
    <n v="4"/>
    <n v="2.3529411764705882E-2"/>
    <n v="1136.30465"/>
  </r>
  <r>
    <n v="414"/>
    <s v="CA-2017-117457"/>
    <x v="166"/>
    <d v="2017-12-12T00:00:00"/>
    <x v="1"/>
    <s v="KH-16510"/>
    <s v="Keith Herrera"/>
    <x v="0"/>
    <s v="United States"/>
    <s v="San Francisco"/>
    <s v="California"/>
    <n v="94110"/>
    <x v="1"/>
    <s v="FUR-CH-10003956"/>
    <x v="0"/>
    <x v="1"/>
    <x v="368"/>
    <n v="113.568"/>
    <n v="2"/>
    <x v="2"/>
    <x v="403"/>
    <s v="Valid"/>
    <n v="267.07"/>
    <n v="656.2656164"/>
    <s v="Normal"/>
    <n v="4"/>
    <n v="-0.16250000000000001"/>
    <n v="90.854399999999998"/>
  </r>
  <r>
    <n v="415"/>
    <s v="CA-2017-142636"/>
    <x v="132"/>
    <d v="2017-11-07T00:00:00"/>
    <x v="1"/>
    <s v="KC-16675"/>
    <s v="Kimberly Carter"/>
    <x v="1"/>
    <s v="United States"/>
    <s v="Seattle"/>
    <s v="Washington"/>
    <n v="98105"/>
    <x v="1"/>
    <s v="OFF-PA-10000157"/>
    <x v="1"/>
    <x v="10"/>
    <x v="369"/>
    <n v="139.86000000000001"/>
    <n v="7"/>
    <x v="0"/>
    <x v="404"/>
    <s v="Valid"/>
    <n v="267.07"/>
    <n v="656.2656164"/>
    <s v="Normal"/>
    <n v="4"/>
    <n v="0.47"/>
    <n v="139.86000000000001"/>
  </r>
  <r>
    <n v="416"/>
    <s v="CA-2017-142636"/>
    <x v="132"/>
    <d v="2017-11-07T00:00:00"/>
    <x v="1"/>
    <s v="KC-16675"/>
    <s v="Kimberly Carter"/>
    <x v="1"/>
    <s v="United States"/>
    <s v="Seattle"/>
    <s v="Washington"/>
    <n v="98105"/>
    <x v="1"/>
    <s v="FUR-CH-10001891"/>
    <x v="0"/>
    <x v="1"/>
    <x v="268"/>
    <n v="307.13600000000002"/>
    <n v="4"/>
    <x v="2"/>
    <x v="405"/>
    <s v="Valid"/>
    <n v="267.07"/>
    <n v="656.2656164"/>
    <s v="Normal"/>
    <n v="4"/>
    <n v="8.7499999999999994E-2"/>
    <n v="245.70880000000002"/>
  </r>
  <r>
    <n v="417"/>
    <s v="CA-2017-122105"/>
    <x v="92"/>
    <d v="2017-06-28T00:00:00"/>
    <x v="1"/>
    <s v="CJ-12010"/>
    <s v="Caroline Jumper"/>
    <x v="0"/>
    <s v="United States"/>
    <s v="Huntington Beach"/>
    <s v="California"/>
    <n v="92646"/>
    <x v="1"/>
    <s v="OFF-AR-10004344"/>
    <x v="1"/>
    <x v="6"/>
    <x v="370"/>
    <n v="95.92"/>
    <n v="8"/>
    <x v="0"/>
    <x v="406"/>
    <s v="Valid"/>
    <n v="267.07"/>
    <n v="656.2656164"/>
    <s v="Normal"/>
    <n v="4"/>
    <n v="0.26999999999999996"/>
    <n v="95.92"/>
  </r>
  <r>
    <n v="418"/>
    <s v="CA-2016-148796"/>
    <x v="167"/>
    <d v="2016-04-18T00:00:00"/>
    <x v="1"/>
    <s v="PB-19150"/>
    <s v="Philip Brown"/>
    <x v="0"/>
    <s v="United States"/>
    <s v="Los Angeles"/>
    <s v="California"/>
    <n v="90004"/>
    <x v="1"/>
    <s v="FUR-CH-10004886"/>
    <x v="0"/>
    <x v="1"/>
    <x v="371"/>
    <n v="383.8"/>
    <n v="5"/>
    <x v="2"/>
    <x v="407"/>
    <s v="Valid"/>
    <n v="267.07"/>
    <n v="656.2656164"/>
    <s v="Normal"/>
    <n v="4"/>
    <n v="0.1"/>
    <n v="307.04000000000002"/>
  </r>
  <r>
    <n v="419"/>
    <s v="CA-2017-154816"/>
    <x v="44"/>
    <d v="2017-11-10T00:00:00"/>
    <x v="1"/>
    <s v="VB-21745"/>
    <s v="Victoria Brennan"/>
    <x v="1"/>
    <s v="United States"/>
    <s v="Richmond"/>
    <s v="Kentucky"/>
    <n v="40475"/>
    <x v="0"/>
    <s v="OFF-PA-10003845"/>
    <x v="1"/>
    <x v="10"/>
    <x v="372"/>
    <n v="5.78"/>
    <n v="1"/>
    <x v="0"/>
    <x v="408"/>
    <s v="Valid"/>
    <n v="267.07"/>
    <n v="656.2656164"/>
    <s v="Normal"/>
    <n v="4"/>
    <n v="0.48999999999999994"/>
    <n v="5.78"/>
  </r>
  <r>
    <n v="420"/>
    <s v="CA-2017-110478"/>
    <x v="168"/>
    <d v="2017-03-09T00:00:00"/>
    <x v="1"/>
    <s v="SP-20860"/>
    <s v="Sung Pak"/>
    <x v="1"/>
    <s v="United States"/>
    <s v="Los Angeles"/>
    <s v="California"/>
    <n v="90045"/>
    <x v="1"/>
    <s v="OFF-AR-10001573"/>
    <x v="1"/>
    <x v="6"/>
    <x v="373"/>
    <n v="9.32"/>
    <n v="4"/>
    <x v="0"/>
    <x v="409"/>
    <s v="Valid"/>
    <n v="267.07"/>
    <n v="656.2656164"/>
    <s v="Normal"/>
    <n v="5"/>
    <n v="0.28999999999999998"/>
    <n v="9.32"/>
  </r>
  <r>
    <n v="421"/>
    <s v="CA-2017-110478"/>
    <x v="168"/>
    <d v="2017-03-09T00:00:00"/>
    <x v="1"/>
    <s v="SP-20860"/>
    <s v="Sung Pak"/>
    <x v="1"/>
    <s v="United States"/>
    <s v="Los Angeles"/>
    <s v="California"/>
    <n v="90045"/>
    <x v="1"/>
    <s v="OFF-EN-10000483"/>
    <x v="1"/>
    <x v="12"/>
    <x v="374"/>
    <n v="15.25"/>
    <n v="1"/>
    <x v="0"/>
    <x v="410"/>
    <s v="Valid"/>
    <n v="267.07"/>
    <n v="656.2656164"/>
    <s v="Normal"/>
    <n v="5"/>
    <n v="0.45999999999999996"/>
    <n v="15.25"/>
  </r>
  <r>
    <n v="422"/>
    <s v="CA-2014-142048"/>
    <x v="169"/>
    <d v="2014-06-25T00:00:00"/>
    <x v="2"/>
    <s v="JE-15745"/>
    <s v="Joel Eaton"/>
    <x v="0"/>
    <s v="United States"/>
    <s v="Louisville"/>
    <s v="Colorado"/>
    <n v="80027"/>
    <x v="1"/>
    <s v="TEC-AC-10004114"/>
    <x v="2"/>
    <x v="11"/>
    <x v="375"/>
    <n v="196.75200000000001"/>
    <n v="6"/>
    <x v="2"/>
    <x v="411"/>
    <s v="Valid"/>
    <n v="267.07"/>
    <n v="656.2656164"/>
    <s v="Normal"/>
    <n v="3"/>
    <n v="0.28749999999999998"/>
    <n v="157.40160000000003"/>
  </r>
  <r>
    <n v="423"/>
    <s v="CA-2017-125388"/>
    <x v="15"/>
    <d v="2017-10-23T00:00:00"/>
    <x v="1"/>
    <s v="MP-17965"/>
    <s v="Michael Paige"/>
    <x v="1"/>
    <s v="United States"/>
    <s v="Lawrence"/>
    <s v="Massachusetts"/>
    <n v="1841"/>
    <x v="3"/>
    <s v="FUR-FU-10004712"/>
    <x v="0"/>
    <x v="5"/>
    <x v="376"/>
    <n v="56.56"/>
    <n v="4"/>
    <x v="0"/>
    <x v="412"/>
    <s v="Valid"/>
    <n v="267.07"/>
    <n v="656.2656164"/>
    <s v="Normal"/>
    <n v="4"/>
    <n v="0.26"/>
    <n v="56.56"/>
  </r>
  <r>
    <n v="424"/>
    <s v="CA-2017-125388"/>
    <x v="15"/>
    <d v="2017-10-23T00:00:00"/>
    <x v="1"/>
    <s v="MP-17965"/>
    <s v="Michael Paige"/>
    <x v="1"/>
    <s v="United States"/>
    <s v="Lawrence"/>
    <s v="Massachusetts"/>
    <n v="1841"/>
    <x v="3"/>
    <s v="OFF-ST-10000918"/>
    <x v="1"/>
    <x v="4"/>
    <x v="377"/>
    <n v="32.700000000000003"/>
    <n v="3"/>
    <x v="0"/>
    <x v="413"/>
    <s v="Valid"/>
    <n v="267.07"/>
    <n v="656.2656164"/>
    <s v="Normal"/>
    <n v="4"/>
    <n v="0.26"/>
    <n v="32.700000000000003"/>
  </r>
  <r>
    <n v="425"/>
    <s v="CA-2017-155705"/>
    <x v="170"/>
    <d v="2017-08-23T00:00:00"/>
    <x v="0"/>
    <s v="NF-18385"/>
    <s v="Natalie Fritzler"/>
    <x v="0"/>
    <s v="United States"/>
    <s v="Jackson"/>
    <s v="Mississippi"/>
    <n v="39212"/>
    <x v="0"/>
    <s v="FUR-CH-10000015"/>
    <x v="0"/>
    <x v="1"/>
    <x v="378"/>
    <n v="866.4"/>
    <n v="4"/>
    <x v="0"/>
    <x v="414"/>
    <s v="Valid"/>
    <n v="267.07"/>
    <n v="656.2656164"/>
    <s v="Normal"/>
    <n v="2"/>
    <n v="0.26"/>
    <n v="866.4"/>
  </r>
  <r>
    <n v="426"/>
    <s v="CA-2017-149160"/>
    <x v="51"/>
    <d v="2017-11-26T00:00:00"/>
    <x v="0"/>
    <s v="JM-15265"/>
    <s v="Janet Molinari"/>
    <x v="1"/>
    <s v="United States"/>
    <s v="Canton"/>
    <s v="Michigan"/>
    <n v="48187"/>
    <x v="2"/>
    <s v="FUR-FU-10003347"/>
    <x v="0"/>
    <x v="5"/>
    <x v="379"/>
    <n v="28.4"/>
    <n v="2"/>
    <x v="0"/>
    <x v="415"/>
    <s v="Valid"/>
    <n v="267.07"/>
    <n v="656.2656164"/>
    <s v="Normal"/>
    <n v="3"/>
    <n v="0.39"/>
    <n v="28.4"/>
  </r>
  <r>
    <n v="427"/>
    <s v="CA-2017-149160"/>
    <x v="51"/>
    <d v="2017-11-26T00:00:00"/>
    <x v="0"/>
    <s v="JM-15265"/>
    <s v="Janet Molinari"/>
    <x v="1"/>
    <s v="United States"/>
    <s v="Canton"/>
    <s v="Michigan"/>
    <n v="48187"/>
    <x v="2"/>
    <s v="OFF-BI-10001543"/>
    <x v="1"/>
    <x v="8"/>
    <x v="380"/>
    <n v="287.92"/>
    <n v="8"/>
    <x v="0"/>
    <x v="416"/>
    <s v="Valid"/>
    <n v="267.07"/>
    <n v="656.2656164"/>
    <s v="Normal"/>
    <n v="3"/>
    <n v="0.48000000000000004"/>
    <n v="287.92"/>
  </r>
  <r>
    <n v="428"/>
    <s v="CA-2014-101476"/>
    <x v="171"/>
    <d v="2014-09-13T00:00:00"/>
    <x v="2"/>
    <s v="SD-20485"/>
    <s v="Shirley Daniels"/>
    <x v="2"/>
    <s v="United States"/>
    <s v="New Rochelle"/>
    <s v="New York"/>
    <n v="10801"/>
    <x v="3"/>
    <s v="TEC-MA-10000029"/>
    <x v="2"/>
    <x v="15"/>
    <x v="381"/>
    <n v="69.989999999999995"/>
    <n v="1"/>
    <x v="0"/>
    <x v="417"/>
    <s v="Valid"/>
    <n v="267.07"/>
    <n v="656.2656164"/>
    <s v="Normal"/>
    <n v="1"/>
    <n v="0.43000000000000005"/>
    <n v="69.989999999999995"/>
  </r>
  <r>
    <n v="429"/>
    <s v="CA-2017-152275"/>
    <x v="172"/>
    <d v="2017-10-08T00:00:00"/>
    <x v="1"/>
    <s v="KH-16630"/>
    <s v="Ken Heidel"/>
    <x v="1"/>
    <s v="United States"/>
    <s v="San Antonio"/>
    <s v="Texas"/>
    <n v="78207"/>
    <x v="2"/>
    <s v="OFF-AR-10000369"/>
    <x v="1"/>
    <x v="6"/>
    <x v="382"/>
    <n v="6.6719999999999997"/>
    <n v="6"/>
    <x v="2"/>
    <x v="418"/>
    <s v="Valid"/>
    <n v="267.07"/>
    <n v="656.2656164"/>
    <s v="Normal"/>
    <n v="7"/>
    <n v="7.4999999999999997E-2"/>
    <n v="5.3376000000000001"/>
  </r>
  <r>
    <n v="430"/>
    <s v="US-2016-123750"/>
    <x v="173"/>
    <d v="2016-04-21T00:00:00"/>
    <x v="1"/>
    <s v="RB-19795"/>
    <s v="Ross Baird"/>
    <x v="2"/>
    <s v="United States"/>
    <s v="Gastonia"/>
    <s v="North Carolina"/>
    <n v="28052"/>
    <x v="0"/>
    <s v="OFF-BI-10004584"/>
    <x v="1"/>
    <x v="8"/>
    <x v="383"/>
    <n v="189.58799999999999"/>
    <n v="2"/>
    <x v="6"/>
    <x v="419"/>
    <s v="Valid"/>
    <n v="267.07"/>
    <n v="656.2656164"/>
    <s v="Normal"/>
    <n v="6"/>
    <n v="-0.76666666666666661"/>
    <n v="56.876400000000004"/>
  </r>
  <r>
    <n v="431"/>
    <s v="US-2016-123750"/>
    <x v="173"/>
    <d v="2016-04-21T00:00:00"/>
    <x v="1"/>
    <s v="RB-19795"/>
    <s v="Ross Baird"/>
    <x v="2"/>
    <s v="United States"/>
    <s v="Gastonia"/>
    <s v="North Carolina"/>
    <n v="28052"/>
    <x v="0"/>
    <s v="TEC-AC-10004659"/>
    <x v="2"/>
    <x v="11"/>
    <x v="172"/>
    <n v="408.74400000000003"/>
    <n v="7"/>
    <x v="2"/>
    <x v="179"/>
    <s v="Valid"/>
    <n v="267.07"/>
    <n v="656.2656164"/>
    <s v="Normal"/>
    <n v="6"/>
    <n v="0.18749999999999997"/>
    <n v="326.99520000000007"/>
  </r>
  <r>
    <n v="432"/>
    <s v="US-2016-123750"/>
    <x v="173"/>
    <d v="2016-04-21T00:00:00"/>
    <x v="1"/>
    <s v="RB-19795"/>
    <s v="Ross Baird"/>
    <x v="2"/>
    <s v="United States"/>
    <s v="Gastonia"/>
    <s v="North Carolina"/>
    <n v="28052"/>
    <x v="0"/>
    <s v="TEC-AC-10004659"/>
    <x v="2"/>
    <x v="11"/>
    <x v="172"/>
    <n v="291.95999999999998"/>
    <n v="5"/>
    <x v="2"/>
    <x v="420"/>
    <s v="Valid"/>
    <n v="267.07"/>
    <n v="656.2656164"/>
    <s v="Normal"/>
    <n v="6"/>
    <n v="0.1875"/>
    <n v="233.56799999999998"/>
  </r>
  <r>
    <n v="433"/>
    <s v="US-2016-123750"/>
    <x v="173"/>
    <d v="2016-04-21T00:00:00"/>
    <x v="1"/>
    <s v="RB-19795"/>
    <s v="Ross Baird"/>
    <x v="2"/>
    <s v="United States"/>
    <s v="Gastonia"/>
    <s v="North Carolina"/>
    <n v="28052"/>
    <x v="0"/>
    <s v="OFF-ST-10000617"/>
    <x v="1"/>
    <x v="4"/>
    <x v="384"/>
    <n v="4.7679999999999998"/>
    <n v="2"/>
    <x v="2"/>
    <x v="421"/>
    <s v="Valid"/>
    <n v="267.07"/>
    <n v="656.2656164"/>
    <s v="Normal"/>
    <n v="6"/>
    <n v="-0.16250000000000001"/>
    <n v="3.8144"/>
  </r>
  <r>
    <n v="434"/>
    <s v="CA-2016-127369"/>
    <x v="112"/>
    <d v="2016-06-07T00:00:00"/>
    <x v="2"/>
    <s v="DB-13060"/>
    <s v="Dave Brooks"/>
    <x v="0"/>
    <s v="United States"/>
    <s v="Lowell"/>
    <s v="Massachusetts"/>
    <n v="1852"/>
    <x v="3"/>
    <s v="OFF-ST-10003306"/>
    <x v="1"/>
    <x v="4"/>
    <x v="385"/>
    <n v="714.3"/>
    <n v="5"/>
    <x v="0"/>
    <x v="422"/>
    <s v="Valid"/>
    <n v="267.07"/>
    <n v="656.2656164"/>
    <s v="Normal"/>
    <n v="1"/>
    <n v="0.28999999999999998"/>
    <n v="714.3"/>
  </r>
  <r>
    <n v="435"/>
    <s v="US-2014-150574"/>
    <x v="174"/>
    <d v="2014-12-25T00:00:00"/>
    <x v="1"/>
    <s v="MK-18160"/>
    <s v="Mike Kennedy"/>
    <x v="0"/>
    <s v="United States"/>
    <s v="Jacksonville"/>
    <s v="Florida"/>
    <n v="32216"/>
    <x v="0"/>
    <s v="OFF-BI-10000773"/>
    <x v="1"/>
    <x v="8"/>
    <x v="386"/>
    <n v="4.8120000000000003"/>
    <n v="2"/>
    <x v="6"/>
    <x v="423"/>
    <s v="Valid"/>
    <n v="267.07"/>
    <n v="656.2656164"/>
    <s v="Normal"/>
    <n v="6"/>
    <n v="-0.76666666666666661"/>
    <n v="1.4436000000000002"/>
  </r>
  <r>
    <n v="436"/>
    <s v="US-2014-150574"/>
    <x v="174"/>
    <d v="2014-12-25T00:00:00"/>
    <x v="1"/>
    <s v="MK-18160"/>
    <s v="Mike Kennedy"/>
    <x v="0"/>
    <s v="United States"/>
    <s v="Jacksonville"/>
    <s v="Florida"/>
    <n v="32216"/>
    <x v="0"/>
    <s v="TEC-AC-10002600"/>
    <x v="2"/>
    <x v="11"/>
    <x v="387"/>
    <n v="247.8"/>
    <n v="5"/>
    <x v="2"/>
    <x v="424"/>
    <s v="Valid"/>
    <n v="267.07"/>
    <n v="656.2656164"/>
    <s v="Normal"/>
    <n v="6"/>
    <n v="-7.4999999999999997E-2"/>
    <n v="198.24"/>
  </r>
  <r>
    <n v="437"/>
    <s v="CA-2016-147375"/>
    <x v="1"/>
    <d v="2016-06-14T00:00:00"/>
    <x v="0"/>
    <s v="PO-19180"/>
    <s v="Philisse Overcash"/>
    <x v="2"/>
    <s v="United States"/>
    <s v="Chicago"/>
    <s v="Illinois"/>
    <n v="60623"/>
    <x v="2"/>
    <s v="TEC-MA-10002937"/>
    <x v="2"/>
    <x v="15"/>
    <x v="388"/>
    <n v="1007.979"/>
    <n v="3"/>
    <x v="4"/>
    <x v="425"/>
    <s v="Valid"/>
    <n v="267.07"/>
    <n v="656.2656164"/>
    <s v="Normal"/>
    <n v="2"/>
    <n v="4.2857142857142858E-2"/>
    <n v="705.58529999999996"/>
  </r>
  <r>
    <n v="438"/>
    <s v="CA-2016-147375"/>
    <x v="1"/>
    <d v="2016-06-14T00:00:00"/>
    <x v="0"/>
    <s v="PO-19180"/>
    <s v="Philisse Overcash"/>
    <x v="2"/>
    <s v="United States"/>
    <s v="Chicago"/>
    <s v="Illinois"/>
    <n v="60623"/>
    <x v="2"/>
    <s v="OFF-PA-10001970"/>
    <x v="1"/>
    <x v="10"/>
    <x v="366"/>
    <n v="313.488"/>
    <n v="7"/>
    <x v="2"/>
    <x v="426"/>
    <s v="Valid"/>
    <n v="267.07"/>
    <n v="656.2656164"/>
    <s v="Normal"/>
    <n v="2"/>
    <n v="0.36249999999999999"/>
    <n v="250.79040000000001"/>
  </r>
  <r>
    <n v="439"/>
    <s v="CA-2017-130043"/>
    <x v="175"/>
    <d v="2017-09-19T00:00:00"/>
    <x v="1"/>
    <s v="BB-11545"/>
    <s v="Brenda Bowman"/>
    <x v="1"/>
    <s v="United States"/>
    <s v="Houston"/>
    <s v="Texas"/>
    <n v="77070"/>
    <x v="2"/>
    <s v="OFF-PA-10002230"/>
    <x v="1"/>
    <x v="10"/>
    <x v="389"/>
    <n v="31.872"/>
    <n v="8"/>
    <x v="2"/>
    <x v="427"/>
    <s v="Valid"/>
    <n v="267.07"/>
    <n v="656.2656164"/>
    <s v="Normal"/>
    <n v="4"/>
    <n v="0.36249999999999999"/>
    <n v="25.497600000000002"/>
  </r>
  <r>
    <n v="440"/>
    <s v="CA-2017-157252"/>
    <x v="176"/>
    <d v="2017-01-23T00:00:00"/>
    <x v="0"/>
    <s v="CV-12805"/>
    <s v="Cynthia Voltz"/>
    <x v="1"/>
    <s v="United States"/>
    <s v="New York City"/>
    <s v="New York"/>
    <n v="10024"/>
    <x v="3"/>
    <s v="FUR-CH-10003396"/>
    <x v="0"/>
    <x v="1"/>
    <x v="390"/>
    <n v="207.846"/>
    <n v="3"/>
    <x v="9"/>
    <x v="428"/>
    <s v="Valid"/>
    <n v="267.07"/>
    <n v="656.2656164"/>
    <s v="Normal"/>
    <n v="3"/>
    <n v="1.1111111111111112E-2"/>
    <n v="187.06140000000002"/>
  </r>
  <r>
    <n v="441"/>
    <s v="CA-2016-115756"/>
    <x v="64"/>
    <d v="2016-09-07T00:00:00"/>
    <x v="0"/>
    <s v="PK-19075"/>
    <s v="Pete Kriz"/>
    <x v="0"/>
    <s v="United States"/>
    <s v="Detroit"/>
    <s v="Michigan"/>
    <n v="48227"/>
    <x v="2"/>
    <s v="FUR-FU-10000246"/>
    <x v="0"/>
    <x v="5"/>
    <x v="391"/>
    <n v="12.22"/>
    <n v="1"/>
    <x v="0"/>
    <x v="429"/>
    <s v="Valid"/>
    <n v="267.07"/>
    <n v="656.2656164"/>
    <s v="Normal"/>
    <n v="2"/>
    <n v="0.3"/>
    <n v="12.22"/>
  </r>
  <r>
    <n v="442"/>
    <s v="CA-2016-115756"/>
    <x v="64"/>
    <d v="2016-09-07T00:00:00"/>
    <x v="0"/>
    <s v="PK-19075"/>
    <s v="Pete Kriz"/>
    <x v="0"/>
    <s v="United States"/>
    <s v="Detroit"/>
    <s v="Michigan"/>
    <n v="48227"/>
    <x v="2"/>
    <s v="OFF-ST-10000060"/>
    <x v="1"/>
    <x v="4"/>
    <x v="392"/>
    <n v="194.94"/>
    <n v="3"/>
    <x v="0"/>
    <x v="430"/>
    <s v="Valid"/>
    <n v="267.07"/>
    <n v="656.2656164"/>
    <s v="Normal"/>
    <n v="2"/>
    <n v="0.12000000000000001"/>
    <n v="194.94"/>
  </r>
  <r>
    <n v="443"/>
    <s v="CA-2016-115756"/>
    <x v="64"/>
    <d v="2016-09-07T00:00:00"/>
    <x v="0"/>
    <s v="PK-19075"/>
    <s v="Pete Kriz"/>
    <x v="0"/>
    <s v="United States"/>
    <s v="Detroit"/>
    <s v="Michigan"/>
    <n v="48227"/>
    <x v="2"/>
    <s v="OFF-ST-10003058"/>
    <x v="1"/>
    <x v="4"/>
    <x v="393"/>
    <n v="70.95"/>
    <n v="3"/>
    <x v="0"/>
    <x v="431"/>
    <s v="Valid"/>
    <n v="267.07"/>
    <n v="656.2656164"/>
    <s v="Normal"/>
    <n v="2"/>
    <n v="0.29000000000000004"/>
    <n v="70.95"/>
  </r>
  <r>
    <n v="444"/>
    <s v="CA-2016-115756"/>
    <x v="64"/>
    <d v="2016-09-07T00:00:00"/>
    <x v="0"/>
    <s v="PK-19075"/>
    <s v="Pete Kriz"/>
    <x v="0"/>
    <s v="United States"/>
    <s v="Detroit"/>
    <s v="Michigan"/>
    <n v="48227"/>
    <x v="2"/>
    <s v="OFF-PA-10002222"/>
    <x v="1"/>
    <x v="10"/>
    <x v="394"/>
    <n v="91.36"/>
    <n v="4"/>
    <x v="0"/>
    <x v="432"/>
    <s v="Valid"/>
    <n v="267.07"/>
    <n v="656.2656164"/>
    <s v="Normal"/>
    <n v="2"/>
    <n v="0.45999999999999996"/>
    <n v="91.36"/>
  </r>
  <r>
    <n v="445"/>
    <s v="CA-2016-115756"/>
    <x v="64"/>
    <d v="2016-09-07T00:00:00"/>
    <x v="0"/>
    <s v="PK-19075"/>
    <s v="Pete Kriz"/>
    <x v="0"/>
    <s v="United States"/>
    <s v="Detroit"/>
    <s v="Michigan"/>
    <n v="48227"/>
    <x v="2"/>
    <s v="FUR-CH-10002372"/>
    <x v="0"/>
    <x v="1"/>
    <x v="395"/>
    <n v="242.94"/>
    <n v="3"/>
    <x v="0"/>
    <x v="433"/>
    <s v="Valid"/>
    <n v="267.07"/>
    <n v="656.2656164"/>
    <s v="Normal"/>
    <n v="2"/>
    <n v="0.12"/>
    <n v="242.94"/>
  </r>
  <r>
    <n v="446"/>
    <s v="CA-2016-115756"/>
    <x v="64"/>
    <d v="2016-09-07T00:00:00"/>
    <x v="0"/>
    <s v="PK-19075"/>
    <s v="Pete Kriz"/>
    <x v="0"/>
    <s v="United States"/>
    <s v="Detroit"/>
    <s v="Michigan"/>
    <n v="48227"/>
    <x v="2"/>
    <s v="OFF-LA-10001317"/>
    <x v="1"/>
    <x v="2"/>
    <x v="396"/>
    <n v="22.05"/>
    <n v="7"/>
    <x v="0"/>
    <x v="434"/>
    <s v="Valid"/>
    <n v="267.07"/>
    <n v="656.2656164"/>
    <s v="Normal"/>
    <n v="2"/>
    <n v="0.48"/>
    <n v="22.05"/>
  </r>
  <r>
    <n v="447"/>
    <s v="CA-2017-154214"/>
    <x v="177"/>
    <d v="2017-03-25T00:00:00"/>
    <x v="0"/>
    <s v="TB-21595"/>
    <s v="Troy Blackwell"/>
    <x v="0"/>
    <s v="United States"/>
    <s v="Columbus"/>
    <s v="Indiana"/>
    <n v="47201"/>
    <x v="2"/>
    <s v="FUR-FU-10000206"/>
    <x v="0"/>
    <x v="5"/>
    <x v="397"/>
    <n v="2.91"/>
    <n v="1"/>
    <x v="0"/>
    <x v="435"/>
    <s v="Valid"/>
    <n v="267.07"/>
    <n v="656.2656164"/>
    <s v="Normal"/>
    <n v="5"/>
    <n v="0.47"/>
    <n v="2.91"/>
  </r>
  <r>
    <n v="448"/>
    <s v="CA-2016-166674"/>
    <x v="178"/>
    <d v="2016-04-03T00:00:00"/>
    <x v="0"/>
    <s v="RB-19360"/>
    <s v="Raymond Buch"/>
    <x v="0"/>
    <s v="United States"/>
    <s v="Auburn"/>
    <s v="New York"/>
    <n v="13021"/>
    <x v="3"/>
    <s v="OFF-AR-10000588"/>
    <x v="1"/>
    <x v="6"/>
    <x v="398"/>
    <n v="59.52"/>
    <n v="3"/>
    <x v="0"/>
    <x v="436"/>
    <s v="Valid"/>
    <n v="267.07"/>
    <n v="656.2656164"/>
    <s v="Normal"/>
    <n v="2"/>
    <n v="0.25999999999999995"/>
    <n v="59.52"/>
  </r>
  <r>
    <n v="449"/>
    <s v="CA-2016-166674"/>
    <x v="178"/>
    <d v="2016-04-03T00:00:00"/>
    <x v="0"/>
    <s v="RB-19360"/>
    <s v="Raymond Buch"/>
    <x v="0"/>
    <s v="United States"/>
    <s v="Auburn"/>
    <s v="New York"/>
    <n v="13021"/>
    <x v="3"/>
    <s v="OFF-ST-10001469"/>
    <x v="1"/>
    <x v="4"/>
    <x v="399"/>
    <n v="161.94"/>
    <n v="3"/>
    <x v="0"/>
    <x v="437"/>
    <s v="Valid"/>
    <n v="267.07"/>
    <n v="656.2656164"/>
    <s v="Normal"/>
    <n v="2"/>
    <n v="6.0000000000000005E-2"/>
    <n v="161.94"/>
  </r>
  <r>
    <n v="450"/>
    <s v="CA-2016-166674"/>
    <x v="178"/>
    <d v="2016-04-03T00:00:00"/>
    <x v="0"/>
    <s v="RB-19360"/>
    <s v="Raymond Buch"/>
    <x v="0"/>
    <s v="United States"/>
    <s v="Auburn"/>
    <s v="New York"/>
    <n v="13021"/>
    <x v="3"/>
    <s v="OFF-AR-10001953"/>
    <x v="1"/>
    <x v="6"/>
    <x v="400"/>
    <n v="263.88"/>
    <n v="6"/>
    <x v="0"/>
    <x v="438"/>
    <s v="Valid"/>
    <n v="267.07"/>
    <n v="656.2656164"/>
    <s v="Normal"/>
    <n v="2"/>
    <n v="0.27"/>
    <n v="263.88"/>
  </r>
  <r>
    <n v="451"/>
    <s v="CA-2016-166674"/>
    <x v="178"/>
    <d v="2016-04-03T00:00:00"/>
    <x v="0"/>
    <s v="RB-19360"/>
    <s v="Raymond Buch"/>
    <x v="0"/>
    <s v="United States"/>
    <s v="Auburn"/>
    <s v="New York"/>
    <n v="13021"/>
    <x v="3"/>
    <s v="OFF-AR-10003156"/>
    <x v="1"/>
    <x v="6"/>
    <x v="401"/>
    <n v="30.48"/>
    <n v="3"/>
    <x v="0"/>
    <x v="439"/>
    <s v="Valid"/>
    <n v="267.07"/>
    <n v="656.2656164"/>
    <s v="Normal"/>
    <n v="2"/>
    <n v="0.26"/>
    <n v="30.48"/>
  </r>
  <r>
    <n v="452"/>
    <s v="CA-2016-166674"/>
    <x v="178"/>
    <d v="2016-04-03T00:00:00"/>
    <x v="0"/>
    <s v="RB-19360"/>
    <s v="Raymond Buch"/>
    <x v="0"/>
    <s v="United States"/>
    <s v="Auburn"/>
    <s v="New York"/>
    <n v="13021"/>
    <x v="3"/>
    <s v="OFF-AR-10004974"/>
    <x v="1"/>
    <x v="6"/>
    <x v="402"/>
    <n v="9.84"/>
    <n v="3"/>
    <x v="0"/>
    <x v="301"/>
    <s v="Valid"/>
    <n v="267.07"/>
    <n v="656.2656164"/>
    <s v="Normal"/>
    <n v="2"/>
    <n v="0.29000000000000004"/>
    <n v="9.84"/>
  </r>
  <r>
    <n v="453"/>
    <s v="CA-2016-166674"/>
    <x v="178"/>
    <d v="2016-04-03T00:00:00"/>
    <x v="0"/>
    <s v="RB-19360"/>
    <s v="Raymond Buch"/>
    <x v="0"/>
    <s v="United States"/>
    <s v="Auburn"/>
    <s v="New York"/>
    <n v="13021"/>
    <x v="3"/>
    <s v="TEC-PH-10002365"/>
    <x v="2"/>
    <x v="7"/>
    <x v="403"/>
    <n v="35.119999999999997"/>
    <n v="4"/>
    <x v="0"/>
    <x v="440"/>
    <s v="Valid"/>
    <n v="267.07"/>
    <n v="656.2656164"/>
    <s v="Normal"/>
    <n v="2"/>
    <n v="0.26"/>
    <n v="35.119999999999997"/>
  </r>
  <r>
    <n v="454"/>
    <s v="CA-2017-147277"/>
    <x v="179"/>
    <d v="2017-10-24T00:00:00"/>
    <x v="1"/>
    <s v="EB-13705"/>
    <s v="Ed Braxton"/>
    <x v="1"/>
    <s v="United States"/>
    <s v="Akron"/>
    <s v="Ohio"/>
    <n v="44312"/>
    <x v="3"/>
    <s v="FUR-TA-10001539"/>
    <x v="0"/>
    <x v="3"/>
    <x v="10"/>
    <n v="284.36399999999998"/>
    <n v="2"/>
    <x v="10"/>
    <x v="441"/>
    <s v="Valid"/>
    <n v="267.07"/>
    <n v="656.2656164"/>
    <s v="Normal"/>
    <n v="4"/>
    <n v="-0.26666666666666666"/>
    <n v="170.61839999999998"/>
  </r>
  <r>
    <n v="455"/>
    <s v="CA-2017-147277"/>
    <x v="179"/>
    <d v="2017-10-24T00:00:00"/>
    <x v="1"/>
    <s v="EB-13705"/>
    <s v="Ed Braxton"/>
    <x v="1"/>
    <s v="United States"/>
    <s v="Akron"/>
    <s v="Ohio"/>
    <n v="44312"/>
    <x v="3"/>
    <s v="OFF-ST-10000142"/>
    <x v="1"/>
    <x v="4"/>
    <x v="404"/>
    <n v="665.40800000000002"/>
    <n v="2"/>
    <x v="2"/>
    <x v="442"/>
    <s v="Valid"/>
    <n v="267.07"/>
    <n v="656.2656164"/>
    <s v="Normal"/>
    <n v="4"/>
    <n v="0.1"/>
    <n v="532.32640000000004"/>
  </r>
  <r>
    <n v="456"/>
    <s v="CA-2016-100153"/>
    <x v="180"/>
    <d v="2016-12-17T00:00:00"/>
    <x v="1"/>
    <s v="KH-16630"/>
    <s v="Ken Heidel"/>
    <x v="1"/>
    <s v="United States"/>
    <s v="Norman"/>
    <s v="Oklahoma"/>
    <n v="73071"/>
    <x v="2"/>
    <s v="TEC-AC-10001772"/>
    <x v="2"/>
    <x v="11"/>
    <x v="405"/>
    <n v="63.88"/>
    <n v="4"/>
    <x v="0"/>
    <x v="443"/>
    <s v="Valid"/>
    <n v="267.07"/>
    <n v="656.2656164"/>
    <s v="Normal"/>
    <n v="4"/>
    <n v="0.38999999999999996"/>
    <n v="63.88"/>
  </r>
  <r>
    <n v="457"/>
    <s v="US-2014-110674"/>
    <x v="181"/>
    <d v="2014-02-18T00:00:00"/>
    <x v="1"/>
    <s v="SC-20095"/>
    <s v="Sanjit Chand"/>
    <x v="0"/>
    <s v="United States"/>
    <s v="Concord"/>
    <s v="California"/>
    <n v="94521"/>
    <x v="1"/>
    <s v="FUR-CH-10000225"/>
    <x v="0"/>
    <x v="1"/>
    <x v="406"/>
    <n v="129.56800000000001"/>
    <n v="2"/>
    <x v="2"/>
    <x v="444"/>
    <s v="Valid"/>
    <n v="267.07"/>
    <n v="656.2656164"/>
    <s v="Normal"/>
    <n v="6"/>
    <n v="-0.1875"/>
    <n v="103.65440000000001"/>
  </r>
  <r>
    <n v="458"/>
    <s v="US-2016-157945"/>
    <x v="182"/>
    <d v="2016-10-01T00:00:00"/>
    <x v="1"/>
    <s v="NF-18385"/>
    <s v="Natalie Fritzler"/>
    <x v="0"/>
    <s v="United States"/>
    <s v="Decatur"/>
    <s v="Illinois"/>
    <n v="62521"/>
    <x v="2"/>
    <s v="FUR-CH-10002331"/>
    <x v="0"/>
    <x v="1"/>
    <x v="407"/>
    <n v="747.55799999999999"/>
    <n v="3"/>
    <x v="4"/>
    <x v="445"/>
    <s v="Valid"/>
    <n v="267.07"/>
    <n v="656.2656164"/>
    <s v="Normal"/>
    <n v="5"/>
    <n v="-0.12857142857142856"/>
    <n v="523.29059999999993"/>
  </r>
  <r>
    <n v="459"/>
    <s v="US-2016-157945"/>
    <x v="182"/>
    <d v="2016-10-01T00:00:00"/>
    <x v="1"/>
    <s v="NF-18385"/>
    <s v="Natalie Fritzler"/>
    <x v="0"/>
    <s v="United States"/>
    <s v="Decatur"/>
    <s v="Illinois"/>
    <n v="62521"/>
    <x v="2"/>
    <s v="OFF-EN-10001415"/>
    <x v="1"/>
    <x v="12"/>
    <x v="153"/>
    <n v="8.9280000000000008"/>
    <n v="2"/>
    <x v="2"/>
    <x v="446"/>
    <s v="Valid"/>
    <n v="267.07"/>
    <n v="656.2656164"/>
    <s v="Normal"/>
    <n v="5"/>
    <n v="0.37499999999999994"/>
    <n v="7.1424000000000012"/>
  </r>
  <r>
    <n v="460"/>
    <s v="CA-2015-109638"/>
    <x v="83"/>
    <d v="2015-12-22T00:00:00"/>
    <x v="1"/>
    <s v="JH-15985"/>
    <s v="Joseph Holt"/>
    <x v="0"/>
    <s v="United States"/>
    <s v="Seattle"/>
    <s v="Washington"/>
    <n v="98115"/>
    <x v="1"/>
    <s v="OFF-AP-10002472"/>
    <x v="1"/>
    <x v="9"/>
    <x v="408"/>
    <n v="103.92"/>
    <n v="4"/>
    <x v="0"/>
    <x v="447"/>
    <s v="Valid"/>
    <n v="267.07"/>
    <n v="656.2656164"/>
    <s v="Normal"/>
    <n v="7"/>
    <n v="0.35"/>
    <n v="103.92"/>
  </r>
  <r>
    <n v="461"/>
    <s v="CA-2015-109638"/>
    <x v="83"/>
    <d v="2015-12-22T00:00:00"/>
    <x v="1"/>
    <s v="JH-15985"/>
    <s v="Joseph Holt"/>
    <x v="0"/>
    <s v="United States"/>
    <s v="Seattle"/>
    <s v="Washington"/>
    <n v="98115"/>
    <x v="1"/>
    <s v="TEC-AC-10004571"/>
    <x v="2"/>
    <x v="11"/>
    <x v="409"/>
    <n v="899.91"/>
    <n v="9"/>
    <x v="0"/>
    <x v="448"/>
    <s v="Valid"/>
    <n v="267.07"/>
    <n v="656.2656164"/>
    <s v="Normal"/>
    <n v="7"/>
    <n v="0.42"/>
    <n v="899.91"/>
  </r>
  <r>
    <n v="462"/>
    <s v="CA-2015-109638"/>
    <x v="83"/>
    <d v="2015-12-22T00:00:00"/>
    <x v="1"/>
    <s v="JH-15985"/>
    <s v="Joseph Holt"/>
    <x v="0"/>
    <s v="United States"/>
    <s v="Seattle"/>
    <s v="Washington"/>
    <n v="98115"/>
    <x v="1"/>
    <s v="OFF-BI-10001098"/>
    <x v="1"/>
    <x v="8"/>
    <x v="410"/>
    <n v="51.311999999999998"/>
    <n v="3"/>
    <x v="2"/>
    <x v="449"/>
    <s v="Valid"/>
    <n v="267.07"/>
    <n v="656.2656164"/>
    <s v="Normal"/>
    <n v="7"/>
    <n v="0.36250000000000004"/>
    <n v="41.049599999999998"/>
  </r>
  <r>
    <n v="463"/>
    <s v="CA-2016-109869"/>
    <x v="183"/>
    <d v="2016-04-29T00:00:00"/>
    <x v="1"/>
    <s v="TN-21040"/>
    <s v="Tanja Norvell"/>
    <x v="2"/>
    <s v="United States"/>
    <s v="Phoenix"/>
    <s v="Arizona"/>
    <n v="85023"/>
    <x v="1"/>
    <s v="FUR-FU-10000023"/>
    <x v="0"/>
    <x v="5"/>
    <x v="325"/>
    <n v="23.56"/>
    <n v="5"/>
    <x v="2"/>
    <x v="450"/>
    <s v="Valid"/>
    <n v="267.07"/>
    <n v="656.2656164"/>
    <s v="Normal"/>
    <n v="7"/>
    <n v="0.3"/>
    <n v="18.847999999999999"/>
  </r>
  <r>
    <n v="464"/>
    <s v="CA-2016-109869"/>
    <x v="183"/>
    <d v="2016-04-29T00:00:00"/>
    <x v="1"/>
    <s v="TN-21040"/>
    <s v="Tanja Norvell"/>
    <x v="2"/>
    <s v="United States"/>
    <s v="Phoenix"/>
    <s v="Arizona"/>
    <n v="85023"/>
    <x v="1"/>
    <s v="FUR-TA-10001889"/>
    <x v="0"/>
    <x v="3"/>
    <x v="411"/>
    <n v="1272.6300000000001"/>
    <n v="6"/>
    <x v="5"/>
    <x v="451"/>
    <s v="Valid"/>
    <n v="267.07"/>
    <n v="656.2656164"/>
    <s v="Normal"/>
    <n v="7"/>
    <n v="-0.6399999999999999"/>
    <n v="636.31500000000005"/>
  </r>
  <r>
    <n v="465"/>
    <s v="CA-2016-109869"/>
    <x v="183"/>
    <d v="2016-04-29T00:00:00"/>
    <x v="1"/>
    <s v="TN-21040"/>
    <s v="Tanja Norvell"/>
    <x v="2"/>
    <s v="United States"/>
    <s v="Phoenix"/>
    <s v="Arizona"/>
    <n v="85023"/>
    <x v="1"/>
    <s v="OFF-BI-10000315"/>
    <x v="1"/>
    <x v="8"/>
    <x v="412"/>
    <n v="28.484999999999999"/>
    <n v="5"/>
    <x v="6"/>
    <x v="452"/>
    <s v="Valid"/>
    <n v="267.07"/>
    <n v="656.2656164"/>
    <s v="Normal"/>
    <n v="7"/>
    <n v="-0.73333333333333328"/>
    <n v="8.5455000000000005"/>
  </r>
  <r>
    <n v="466"/>
    <s v="CA-2016-109869"/>
    <x v="183"/>
    <d v="2016-04-29T00:00:00"/>
    <x v="1"/>
    <s v="TN-21040"/>
    <s v="Tanja Norvell"/>
    <x v="2"/>
    <s v="United States"/>
    <s v="Phoenix"/>
    <s v="Arizona"/>
    <n v="85023"/>
    <x v="1"/>
    <s v="OFF-SU-10003505"/>
    <x v="1"/>
    <x v="14"/>
    <x v="413"/>
    <n v="185.376"/>
    <n v="2"/>
    <x v="2"/>
    <x v="453"/>
    <s v="Valid"/>
    <n v="267.07"/>
    <n v="656.2656164"/>
    <s v="Normal"/>
    <n v="7"/>
    <n v="-0.1875"/>
    <n v="148.30080000000001"/>
  </r>
  <r>
    <n v="467"/>
    <s v="CA-2016-109869"/>
    <x v="183"/>
    <d v="2016-04-29T00:00:00"/>
    <x v="1"/>
    <s v="TN-21040"/>
    <s v="Tanja Norvell"/>
    <x v="2"/>
    <s v="United States"/>
    <s v="Phoenix"/>
    <s v="Arizona"/>
    <n v="85023"/>
    <x v="1"/>
    <s v="OFF-AP-10002578"/>
    <x v="1"/>
    <x v="9"/>
    <x v="414"/>
    <n v="78.272000000000006"/>
    <n v="2"/>
    <x v="2"/>
    <x v="454"/>
    <s v="Valid"/>
    <n v="267.07"/>
    <n v="656.2656164"/>
    <s v="Normal"/>
    <n v="7"/>
    <n v="7.4999999999999997E-2"/>
    <n v="62.61760000000001"/>
  </r>
  <r>
    <n v="468"/>
    <s v="US-2015-101399"/>
    <x v="184"/>
    <d v="2015-01-24T00:00:00"/>
    <x v="1"/>
    <s v="JS-15940"/>
    <s v="Joni Sundaresam"/>
    <x v="2"/>
    <s v="United States"/>
    <s v="Park Ridge"/>
    <s v="Illinois"/>
    <n v="60068"/>
    <x v="2"/>
    <s v="FUR-FU-10002918"/>
    <x v="0"/>
    <x v="5"/>
    <x v="269"/>
    <n v="254.744"/>
    <n v="7"/>
    <x v="7"/>
    <x v="455"/>
    <s v="Valid"/>
    <n v="267.07"/>
    <n v="656.2656164"/>
    <s v="Normal"/>
    <n v="7"/>
    <n v="-1.2249999999999999"/>
    <n v="101.89760000000001"/>
  </r>
  <r>
    <n v="469"/>
    <s v="CA-2017-154907"/>
    <x v="185"/>
    <d v="2017-04-04T00:00:00"/>
    <x v="1"/>
    <s v="DS-13180"/>
    <s v="David Smith"/>
    <x v="1"/>
    <s v="United States"/>
    <s v="Amarillo"/>
    <s v="Texas"/>
    <n v="79109"/>
    <x v="2"/>
    <s v="FUR-BO-10002824"/>
    <x v="0"/>
    <x v="0"/>
    <x v="415"/>
    <n v="205.33279999999999"/>
    <n v="2"/>
    <x v="8"/>
    <x v="456"/>
    <s v="Valid"/>
    <n v="267.07"/>
    <n v="656.2656164"/>
    <s v="Normal"/>
    <n v="4"/>
    <n v="-0.17647058823529413"/>
    <n v="139.62630399999998"/>
  </r>
  <r>
    <n v="470"/>
    <s v="US-2016-100419"/>
    <x v="186"/>
    <d v="2016-12-20T00:00:00"/>
    <x v="0"/>
    <s v="CC-12670"/>
    <s v="Craig Carreira"/>
    <x v="0"/>
    <s v="United States"/>
    <s v="Chicago"/>
    <s v="Illinois"/>
    <n v="60610"/>
    <x v="2"/>
    <s v="OFF-BI-10002194"/>
    <x v="1"/>
    <x v="8"/>
    <x v="416"/>
    <n v="4.7880000000000003"/>
    <n v="3"/>
    <x v="3"/>
    <x v="457"/>
    <s v="Valid"/>
    <n v="267.07"/>
    <n v="656.2656164"/>
    <s v="Normal"/>
    <n v="4"/>
    <n v="-1.65"/>
    <n v="0.95759999999999978"/>
  </r>
  <r>
    <n v="471"/>
    <s v="CA-2015-154144"/>
    <x v="139"/>
    <d v="2015-12-24T00:00:00"/>
    <x v="1"/>
    <s v="MH-17785"/>
    <s v="Maya Herman"/>
    <x v="1"/>
    <s v="United States"/>
    <s v="Lindenhurst"/>
    <s v="New York"/>
    <n v="11757"/>
    <x v="3"/>
    <s v="OFF-PA-10004071"/>
    <x v="1"/>
    <x v="10"/>
    <x v="417"/>
    <n v="55.48"/>
    <n v="1"/>
    <x v="0"/>
    <x v="458"/>
    <s v="Valid"/>
    <n v="267.07"/>
    <n v="656.2656164"/>
    <s v="Normal"/>
    <n v="4"/>
    <n v="0.48000000000000004"/>
    <n v="55.48"/>
  </r>
  <r>
    <n v="472"/>
    <s v="CA-2014-144666"/>
    <x v="187"/>
    <d v="2014-11-11T00:00:00"/>
    <x v="0"/>
    <s v="JP-15520"/>
    <s v="Jeremy Pistek"/>
    <x v="0"/>
    <s v="United States"/>
    <s v="San Francisco"/>
    <s v="California"/>
    <n v="94110"/>
    <x v="1"/>
    <s v="OFF-ST-10002743"/>
    <x v="1"/>
    <x v="4"/>
    <x v="418"/>
    <n v="340.92"/>
    <n v="3"/>
    <x v="0"/>
    <x v="459"/>
    <s v="Valid"/>
    <n v="267.07"/>
    <n v="656.2656164"/>
    <s v="Normal"/>
    <n v="2"/>
    <n v="9.9999999999999985E-3"/>
    <n v="340.92"/>
  </r>
  <r>
    <n v="473"/>
    <s v="CA-2014-144666"/>
    <x v="187"/>
    <d v="2014-11-11T00:00:00"/>
    <x v="0"/>
    <s v="JP-15520"/>
    <s v="Jeremy Pistek"/>
    <x v="0"/>
    <s v="United States"/>
    <s v="San Francisco"/>
    <s v="California"/>
    <n v="94110"/>
    <x v="1"/>
    <s v="FUR-BO-10001601"/>
    <x v="0"/>
    <x v="0"/>
    <x v="419"/>
    <n v="222.666"/>
    <n v="2"/>
    <x v="11"/>
    <x v="460"/>
    <s v="Valid"/>
    <n v="267.07"/>
    <n v="656.2656164"/>
    <s v="Normal"/>
    <n v="2"/>
    <n v="4.7058823529411771E-2"/>
    <n v="189.26609999999999"/>
  </r>
  <r>
    <n v="474"/>
    <s v="CA-2014-144666"/>
    <x v="187"/>
    <d v="2014-11-11T00:00:00"/>
    <x v="0"/>
    <s v="JP-15520"/>
    <s v="Jeremy Pistek"/>
    <x v="0"/>
    <s v="United States"/>
    <s v="San Francisco"/>
    <s v="California"/>
    <n v="94110"/>
    <x v="1"/>
    <s v="TEC-PH-10002680"/>
    <x v="2"/>
    <x v="7"/>
    <x v="420"/>
    <n v="703.96799999999996"/>
    <n v="4"/>
    <x v="2"/>
    <x v="461"/>
    <s v="Valid"/>
    <n v="267.07"/>
    <n v="656.2656164"/>
    <s v="Normal"/>
    <n v="2"/>
    <n v="0.125"/>
    <n v="563.17439999999999"/>
  </r>
  <r>
    <n v="475"/>
    <s v="CA-2014-144666"/>
    <x v="187"/>
    <d v="2014-11-11T00:00:00"/>
    <x v="0"/>
    <s v="JP-15520"/>
    <s v="Jeremy Pistek"/>
    <x v="0"/>
    <s v="United States"/>
    <s v="San Francisco"/>
    <s v="California"/>
    <n v="94110"/>
    <x v="1"/>
    <s v="OFF-ST-10001321"/>
    <x v="1"/>
    <x v="4"/>
    <x v="421"/>
    <n v="92.52"/>
    <n v="6"/>
    <x v="0"/>
    <x v="462"/>
    <s v="Valid"/>
    <n v="267.07"/>
    <n v="656.2656164"/>
    <s v="Normal"/>
    <n v="2"/>
    <n v="0.27"/>
    <n v="92.52"/>
  </r>
  <r>
    <n v="476"/>
    <s v="CA-2014-144666"/>
    <x v="187"/>
    <d v="2014-11-11T00:00:00"/>
    <x v="0"/>
    <s v="JP-15520"/>
    <s v="Jeremy Pistek"/>
    <x v="0"/>
    <s v="United States"/>
    <s v="San Francisco"/>
    <s v="California"/>
    <n v="94110"/>
    <x v="1"/>
    <s v="OFF-PA-10001509"/>
    <x v="1"/>
    <x v="10"/>
    <x v="422"/>
    <n v="62.65"/>
    <n v="7"/>
    <x v="0"/>
    <x v="463"/>
    <s v="Valid"/>
    <n v="267.07"/>
    <n v="656.2656164"/>
    <s v="Normal"/>
    <n v="2"/>
    <n v="0.46"/>
    <n v="62.65"/>
  </r>
  <r>
    <n v="477"/>
    <s v="CA-2014-144666"/>
    <x v="187"/>
    <d v="2014-11-11T00:00:00"/>
    <x v="0"/>
    <s v="JP-15520"/>
    <s v="Jeremy Pistek"/>
    <x v="0"/>
    <s v="United States"/>
    <s v="San Francisco"/>
    <s v="California"/>
    <n v="94110"/>
    <x v="1"/>
    <s v="OFF-PA-10003465"/>
    <x v="1"/>
    <x v="10"/>
    <x v="423"/>
    <n v="94.85"/>
    <n v="5"/>
    <x v="0"/>
    <x v="464"/>
    <s v="Valid"/>
    <n v="267.07"/>
    <n v="656.2656164"/>
    <s v="Normal"/>
    <n v="2"/>
    <n v="0.48000000000000004"/>
    <n v="94.85"/>
  </r>
  <r>
    <n v="478"/>
    <s v="CA-2016-103891"/>
    <x v="188"/>
    <d v="2016-07-19T00:00:00"/>
    <x v="1"/>
    <s v="KH-16690"/>
    <s v="Kristen Hastings"/>
    <x v="1"/>
    <s v="United States"/>
    <s v="Los Angeles"/>
    <s v="California"/>
    <n v="90008"/>
    <x v="1"/>
    <s v="TEC-PH-10000149"/>
    <x v="2"/>
    <x v="7"/>
    <x v="424"/>
    <n v="95.76"/>
    <n v="6"/>
    <x v="2"/>
    <x v="465"/>
    <s v="Valid"/>
    <n v="267.07"/>
    <n v="656.2656164"/>
    <s v="Normal"/>
    <n v="7"/>
    <n v="7.4999999999999997E-2"/>
    <n v="76.608000000000004"/>
  </r>
  <r>
    <n v="479"/>
    <s v="CA-2016-152632"/>
    <x v="189"/>
    <d v="2016-11-02T00:00:00"/>
    <x v="1"/>
    <s v="JE-15475"/>
    <s v="Jeremy Ellison"/>
    <x v="0"/>
    <s v="United States"/>
    <s v="Troy"/>
    <s v="New York"/>
    <n v="12180"/>
    <x v="3"/>
    <s v="FUR-FU-10002671"/>
    <x v="0"/>
    <x v="5"/>
    <x v="278"/>
    <n v="40.200000000000003"/>
    <n v="3"/>
    <x v="0"/>
    <x v="466"/>
    <s v="Valid"/>
    <n v="267.07"/>
    <n v="656.2656164"/>
    <s v="Normal"/>
    <n v="6"/>
    <n v="0.47999999999999993"/>
    <n v="40.200000000000003"/>
  </r>
  <r>
    <n v="480"/>
    <s v="CA-2016-100790"/>
    <x v="190"/>
    <d v="2016-07-02T00:00:00"/>
    <x v="1"/>
    <s v="JG-15805"/>
    <s v="John Grady"/>
    <x v="1"/>
    <s v="United States"/>
    <s v="New York City"/>
    <s v="New York"/>
    <n v="10024"/>
    <x v="3"/>
    <s v="OFF-AR-10003045"/>
    <x v="1"/>
    <x v="6"/>
    <x v="425"/>
    <n v="14.7"/>
    <n v="5"/>
    <x v="0"/>
    <x v="467"/>
    <s v="Valid"/>
    <n v="267.07"/>
    <n v="656.2656164"/>
    <s v="Normal"/>
    <n v="6"/>
    <n v="0.45"/>
    <n v="14.7"/>
  </r>
  <r>
    <n v="481"/>
    <s v="CA-2016-100790"/>
    <x v="190"/>
    <d v="2016-07-02T00:00:00"/>
    <x v="1"/>
    <s v="JG-15805"/>
    <s v="John Grady"/>
    <x v="1"/>
    <s v="United States"/>
    <s v="New York City"/>
    <s v="New York"/>
    <n v="10024"/>
    <x v="3"/>
    <s v="OFF-ST-10000689"/>
    <x v="1"/>
    <x v="4"/>
    <x v="426"/>
    <n v="704.25"/>
    <n v="5"/>
    <x v="0"/>
    <x v="468"/>
    <s v="Valid"/>
    <n v="267.07"/>
    <n v="656.2656164"/>
    <s v="Normal"/>
    <n v="6"/>
    <n v="0.12000000000000001"/>
    <n v="704.25"/>
  </r>
  <r>
    <n v="482"/>
    <s v="CA-2014-134677"/>
    <x v="191"/>
    <d v="2014-10-10T00:00:00"/>
    <x v="1"/>
    <s v="XP-21865"/>
    <s v="Xylona Preis"/>
    <x v="0"/>
    <s v="United States"/>
    <s v="San Diego"/>
    <s v="California"/>
    <n v="92024"/>
    <x v="1"/>
    <s v="TEC-AC-10001445"/>
    <x v="2"/>
    <x v="11"/>
    <x v="427"/>
    <n v="9.09"/>
    <n v="3"/>
    <x v="0"/>
    <x v="469"/>
    <s v="Valid"/>
    <n v="267.07"/>
    <n v="656.2656164"/>
    <s v="Normal"/>
    <n v="4"/>
    <n v="0.21000000000000002"/>
    <n v="9.09"/>
  </r>
  <r>
    <n v="483"/>
    <s v="CA-2014-127691"/>
    <x v="192"/>
    <d v="2014-07-27T00:00:00"/>
    <x v="1"/>
    <s v="EM-14065"/>
    <s v="Erin Mull"/>
    <x v="0"/>
    <s v="United States"/>
    <s v="New York City"/>
    <s v="New York"/>
    <n v="10024"/>
    <x v="3"/>
    <s v="OFF-AR-10002053"/>
    <x v="1"/>
    <x v="6"/>
    <x v="79"/>
    <n v="5.96"/>
    <n v="2"/>
    <x v="0"/>
    <x v="470"/>
    <s v="Valid"/>
    <n v="267.07"/>
    <n v="656.2656164"/>
    <s v="Normal"/>
    <n v="5"/>
    <n v="0.28000000000000003"/>
    <n v="5.96"/>
  </r>
  <r>
    <n v="484"/>
    <s v="CA-2014-127691"/>
    <x v="192"/>
    <d v="2014-07-27T00:00:00"/>
    <x v="1"/>
    <s v="EM-14065"/>
    <s v="Erin Mull"/>
    <x v="0"/>
    <s v="United States"/>
    <s v="New York City"/>
    <s v="New York"/>
    <n v="10024"/>
    <x v="3"/>
    <s v="TEC-AC-10002567"/>
    <x v="2"/>
    <x v="11"/>
    <x v="428"/>
    <n v="159.97999999999999"/>
    <n v="2"/>
    <x v="0"/>
    <x v="471"/>
    <s v="Valid"/>
    <n v="267.07"/>
    <n v="656.2656164"/>
    <s v="Normal"/>
    <n v="5"/>
    <n v="0.36"/>
    <n v="159.97999999999999"/>
  </r>
  <r>
    <n v="485"/>
    <s v="CA-2017-140963"/>
    <x v="193"/>
    <d v="2017-06-13T00:00:00"/>
    <x v="2"/>
    <s v="MT-18070"/>
    <s v="Michelle Tran"/>
    <x v="2"/>
    <s v="United States"/>
    <s v="Los Angeles"/>
    <s v="California"/>
    <n v="90045"/>
    <x v="1"/>
    <s v="OFF-LA-10003923"/>
    <x v="1"/>
    <x v="2"/>
    <x v="429"/>
    <n v="29.6"/>
    <n v="2"/>
    <x v="0"/>
    <x v="472"/>
    <s v="Valid"/>
    <n v="267.07"/>
    <n v="656.2656164"/>
    <s v="Normal"/>
    <n v="3"/>
    <n v="0.5"/>
    <n v="29.6"/>
  </r>
  <r>
    <n v="486"/>
    <s v="CA-2017-140963"/>
    <x v="193"/>
    <d v="2017-06-13T00:00:00"/>
    <x v="2"/>
    <s v="MT-18070"/>
    <s v="Michelle Tran"/>
    <x v="2"/>
    <s v="United States"/>
    <s v="Los Angeles"/>
    <s v="California"/>
    <n v="90045"/>
    <x v="1"/>
    <s v="FUR-BO-10001337"/>
    <x v="0"/>
    <x v="0"/>
    <x v="430"/>
    <n v="514.16499999999996"/>
    <n v="5"/>
    <x v="11"/>
    <x v="473"/>
    <s v="Valid"/>
    <n v="267.07"/>
    <n v="656.2656164"/>
    <s v="Normal"/>
    <n v="3"/>
    <n v="-5.8823529411764712E-2"/>
    <n v="437.04024999999996"/>
  </r>
  <r>
    <n v="487"/>
    <s v="CA-2017-140963"/>
    <x v="193"/>
    <d v="2017-06-13T00:00:00"/>
    <x v="2"/>
    <s v="MT-18070"/>
    <s v="Michelle Tran"/>
    <x v="2"/>
    <s v="United States"/>
    <s v="Los Angeles"/>
    <s v="California"/>
    <n v="90045"/>
    <x v="1"/>
    <s v="TEC-PH-10001924"/>
    <x v="2"/>
    <x v="7"/>
    <x v="431"/>
    <n v="279.95999999999998"/>
    <n v="5"/>
    <x v="2"/>
    <x v="474"/>
    <s v="Valid"/>
    <n v="267.07"/>
    <n v="656.2656164"/>
    <s v="Normal"/>
    <n v="3"/>
    <n v="6.25E-2"/>
    <n v="223.96799999999999"/>
  </r>
  <r>
    <n v="488"/>
    <s v="CA-2014-154627"/>
    <x v="194"/>
    <d v="2014-10-31T00:00:00"/>
    <x v="2"/>
    <s v="SA-20830"/>
    <s v="Sue Ann Reed"/>
    <x v="0"/>
    <s v="United States"/>
    <s v="Chicago"/>
    <s v="Illinois"/>
    <n v="60610"/>
    <x v="2"/>
    <s v="TEC-PH-10001363"/>
    <x v="2"/>
    <x v="7"/>
    <x v="432"/>
    <n v="2735.9520000000002"/>
    <n v="6"/>
    <x v="2"/>
    <x v="475"/>
    <s v="Valid"/>
    <n v="267.07"/>
    <n v="656.2656164"/>
    <s v="High Outlier"/>
    <n v="2"/>
    <n v="0.125"/>
    <n v="2188.7616000000003"/>
  </r>
  <r>
    <n v="489"/>
    <s v="CA-2014-133753"/>
    <x v="3"/>
    <d v="2014-06-13T00:00:00"/>
    <x v="0"/>
    <s v="CW-11905"/>
    <s v="Carl Weiss"/>
    <x v="2"/>
    <s v="United States"/>
    <s v="Huntsville"/>
    <s v="Texas"/>
    <n v="77340"/>
    <x v="2"/>
    <s v="TEC-PH-10000376"/>
    <x v="2"/>
    <x v="7"/>
    <x v="433"/>
    <n v="7.992"/>
    <n v="1"/>
    <x v="2"/>
    <x v="476"/>
    <s v="Valid"/>
    <n v="267.07"/>
    <n v="656.2656164"/>
    <s v="Normal"/>
    <n v="4"/>
    <n v="7.5000000000000011E-2"/>
    <n v="6.3936000000000002"/>
  </r>
  <r>
    <n v="490"/>
    <s v="CA-2014-133753"/>
    <x v="3"/>
    <d v="2014-06-13T00:00:00"/>
    <x v="0"/>
    <s v="CW-11905"/>
    <s v="Carl Weiss"/>
    <x v="2"/>
    <s v="United States"/>
    <s v="Huntsville"/>
    <s v="Texas"/>
    <n v="77340"/>
    <x v="2"/>
    <s v="TEC-AC-10000303"/>
    <x v="2"/>
    <x v="11"/>
    <x v="434"/>
    <n v="63.984000000000002"/>
    <n v="2"/>
    <x v="2"/>
    <x v="477"/>
    <s v="Valid"/>
    <n v="267.07"/>
    <n v="656.2656164"/>
    <s v="Normal"/>
    <n v="4"/>
    <n v="0.16249999999999998"/>
    <n v="51.187200000000004"/>
  </r>
  <r>
    <n v="491"/>
    <s v="CA-2014-133753"/>
    <x v="3"/>
    <d v="2014-06-13T00:00:00"/>
    <x v="0"/>
    <s v="CW-11905"/>
    <s v="Carl Weiss"/>
    <x v="2"/>
    <s v="United States"/>
    <s v="Huntsville"/>
    <s v="Texas"/>
    <n v="77340"/>
    <x v="2"/>
    <s v="OFF-AR-10001953"/>
    <x v="1"/>
    <x v="6"/>
    <x v="400"/>
    <n v="70.367999999999995"/>
    <n v="2"/>
    <x v="2"/>
    <x v="478"/>
    <s v="Valid"/>
    <n v="267.07"/>
    <n v="656.2656164"/>
    <s v="Normal"/>
    <n v="4"/>
    <n v="8.7499999999999994E-2"/>
    <n v="56.294399999999996"/>
  </r>
  <r>
    <n v="492"/>
    <s v="CA-2014-113362"/>
    <x v="80"/>
    <d v="2014-09-19T00:00:00"/>
    <x v="1"/>
    <s v="AJ-10960"/>
    <s v="Astrea Jones"/>
    <x v="0"/>
    <s v="United States"/>
    <s v="Rochester"/>
    <s v="New York"/>
    <n v="14609"/>
    <x v="3"/>
    <s v="OFF-ST-10001809"/>
    <x v="1"/>
    <x v="4"/>
    <x v="435"/>
    <n v="449.15"/>
    <n v="5"/>
    <x v="0"/>
    <x v="479"/>
    <s v="Valid"/>
    <n v="267.07"/>
    <n v="656.2656164"/>
    <s v="Normal"/>
    <n v="5"/>
    <n v="2.0000000000000004E-2"/>
    <n v="449.15"/>
  </r>
  <r>
    <n v="493"/>
    <s v="CA-2014-113362"/>
    <x v="80"/>
    <d v="2014-09-19T00:00:00"/>
    <x v="1"/>
    <s v="AJ-10960"/>
    <s v="Astrea Jones"/>
    <x v="0"/>
    <s v="United States"/>
    <s v="Rochester"/>
    <s v="New York"/>
    <n v="14609"/>
    <x v="3"/>
    <s v="OFF-EN-10003845"/>
    <x v="1"/>
    <x v="12"/>
    <x v="436"/>
    <n v="11.07"/>
    <n v="3"/>
    <x v="0"/>
    <x v="480"/>
    <s v="Valid"/>
    <n v="267.07"/>
    <n v="656.2656164"/>
    <s v="Normal"/>
    <n v="5"/>
    <n v="0.46"/>
    <n v="11.07"/>
  </r>
  <r>
    <n v="494"/>
    <s v="CA-2016-169166"/>
    <x v="195"/>
    <d v="2016-05-14T00:00:00"/>
    <x v="1"/>
    <s v="SS-20590"/>
    <s v="Sonia Sunley"/>
    <x v="0"/>
    <s v="United States"/>
    <s v="Seattle"/>
    <s v="Washington"/>
    <n v="98115"/>
    <x v="1"/>
    <s v="TEC-AC-10000991"/>
    <x v="2"/>
    <x v="11"/>
    <x v="437"/>
    <n v="93.98"/>
    <n v="2"/>
    <x v="0"/>
    <x v="481"/>
    <s v="Valid"/>
    <n v="267.07"/>
    <n v="656.2656164"/>
    <s v="Normal"/>
    <n v="5"/>
    <n v="0.13999999999999999"/>
    <n v="93.98"/>
  </r>
  <r>
    <n v="495"/>
    <s v="US-2016-120929"/>
    <x v="196"/>
    <d v="2016-03-21T00:00:00"/>
    <x v="0"/>
    <s v="RO-19780"/>
    <s v="Rose O'Brian"/>
    <x v="0"/>
    <s v="United States"/>
    <s v="Memphis"/>
    <s v="Tennessee"/>
    <n v="38109"/>
    <x v="0"/>
    <s v="FUR-TA-10001857"/>
    <x v="0"/>
    <x v="3"/>
    <x v="438"/>
    <n v="189.88200000000001"/>
    <n v="3"/>
    <x v="10"/>
    <x v="482"/>
    <s v="Valid"/>
    <n v="267.07"/>
    <n v="656.2656164"/>
    <s v="Normal"/>
    <n v="3"/>
    <n v="-0.5"/>
    <n v="113.92919999999999"/>
  </r>
  <r>
    <n v="496"/>
    <s v="CA-2015-134782"/>
    <x v="17"/>
    <d v="2015-12-31T00:00:00"/>
    <x v="1"/>
    <s v="MD-17350"/>
    <s v="Maribeth Dona"/>
    <x v="0"/>
    <s v="United States"/>
    <s v="Fayetteville"/>
    <s v="Arkansas"/>
    <n v="72701"/>
    <x v="0"/>
    <s v="OFF-EN-10001434"/>
    <x v="1"/>
    <x v="12"/>
    <x v="439"/>
    <n v="105.42"/>
    <n v="2"/>
    <x v="0"/>
    <x v="483"/>
    <s v="Valid"/>
    <n v="267.07"/>
    <n v="656.2656164"/>
    <s v="Normal"/>
    <n v="4"/>
    <n v="0.49"/>
    <n v="105.42"/>
  </r>
  <r>
    <n v="497"/>
    <s v="CA-2016-126158"/>
    <x v="197"/>
    <d v="2016-07-31T00:00:00"/>
    <x v="1"/>
    <s v="SC-20095"/>
    <s v="Sanjit Chand"/>
    <x v="0"/>
    <s v="United States"/>
    <s v="Costa Mesa"/>
    <s v="California"/>
    <n v="92627"/>
    <x v="1"/>
    <s v="OFF-BI-10002498"/>
    <x v="1"/>
    <x v="8"/>
    <x v="440"/>
    <n v="119.616"/>
    <n v="8"/>
    <x v="2"/>
    <x v="484"/>
    <s v="Valid"/>
    <n v="267.07"/>
    <n v="656.2656164"/>
    <s v="Normal"/>
    <n v="6"/>
    <n v="0.33749999999999997"/>
    <n v="95.692800000000005"/>
  </r>
  <r>
    <n v="498"/>
    <s v="CA-2016-126158"/>
    <x v="197"/>
    <d v="2016-07-31T00:00:00"/>
    <x v="1"/>
    <s v="SC-20095"/>
    <s v="Sanjit Chand"/>
    <x v="0"/>
    <s v="United States"/>
    <s v="Costa Mesa"/>
    <s v="California"/>
    <n v="92627"/>
    <x v="1"/>
    <s v="FUR-FU-10004864"/>
    <x v="0"/>
    <x v="5"/>
    <x v="441"/>
    <n v="255.76"/>
    <n v="4"/>
    <x v="0"/>
    <x v="485"/>
    <s v="Valid"/>
    <n v="267.07"/>
    <n v="656.2656164"/>
    <s v="Normal"/>
    <n v="6"/>
    <n v="0.32"/>
    <n v="255.76"/>
  </r>
  <r>
    <n v="499"/>
    <s v="CA-2016-126158"/>
    <x v="197"/>
    <d v="2016-07-31T00:00:00"/>
    <x v="1"/>
    <s v="SC-20095"/>
    <s v="Sanjit Chand"/>
    <x v="0"/>
    <s v="United States"/>
    <s v="Costa Mesa"/>
    <s v="California"/>
    <n v="92627"/>
    <x v="1"/>
    <s v="FUR-CH-10002602"/>
    <x v="0"/>
    <x v="1"/>
    <x v="291"/>
    <n v="241.56800000000001"/>
    <n v="2"/>
    <x v="2"/>
    <x v="486"/>
    <s v="Valid"/>
    <n v="267.07"/>
    <n v="656.2656164"/>
    <s v="Normal"/>
    <n v="6"/>
    <n v="7.4999999999999997E-2"/>
    <n v="193.25440000000003"/>
  </r>
  <r>
    <n v="500"/>
    <s v="CA-2016-126158"/>
    <x v="197"/>
    <d v="2016-07-31T00:00:00"/>
    <x v="1"/>
    <s v="SC-20095"/>
    <s v="Sanjit Chand"/>
    <x v="0"/>
    <s v="United States"/>
    <s v="Costa Mesa"/>
    <s v="California"/>
    <n v="92627"/>
    <x v="1"/>
    <s v="FUR-FU-10000073"/>
    <x v="0"/>
    <x v="5"/>
    <x v="442"/>
    <n v="69.3"/>
    <n v="9"/>
    <x v="0"/>
    <x v="487"/>
    <s v="Valid"/>
    <n v="267.07"/>
    <n v="656.2656164"/>
    <s v="Normal"/>
    <n v="6"/>
    <n v="0.33"/>
    <n v="69.3"/>
  </r>
  <r>
    <n v="501"/>
    <s v="US-2016-105578"/>
    <x v="198"/>
    <d v="2016-06-04T00:00:00"/>
    <x v="1"/>
    <s v="MY-17380"/>
    <s v="Maribeth Yedwab"/>
    <x v="1"/>
    <s v="United States"/>
    <s v="Parker"/>
    <s v="Colorado"/>
    <n v="80134"/>
    <x v="1"/>
    <s v="OFF-BI-10001670"/>
    <x v="1"/>
    <x v="8"/>
    <x v="443"/>
    <n v="22.62"/>
    <n v="2"/>
    <x v="6"/>
    <x v="488"/>
    <s v="Valid"/>
    <n v="267.07"/>
    <n v="656.2656164"/>
    <s v="Normal"/>
    <n v="5"/>
    <n v="-0.66666666666666663"/>
    <n v="6.7860000000000014"/>
  </r>
  <r>
    <n v="502"/>
    <s v="US-2016-105578"/>
    <x v="198"/>
    <d v="2016-06-04T00:00:00"/>
    <x v="1"/>
    <s v="MY-17380"/>
    <s v="Maribeth Yedwab"/>
    <x v="1"/>
    <s v="United States"/>
    <s v="Parker"/>
    <s v="Colorado"/>
    <n v="80134"/>
    <x v="1"/>
    <s v="OFF-BI-10001658"/>
    <x v="1"/>
    <x v="8"/>
    <x v="444"/>
    <n v="14.952"/>
    <n v="2"/>
    <x v="6"/>
    <x v="489"/>
    <s v="Valid"/>
    <n v="267.07"/>
    <n v="656.2656164"/>
    <s v="Normal"/>
    <n v="5"/>
    <n v="-0.8"/>
    <n v="4.4856000000000007"/>
  </r>
  <r>
    <n v="503"/>
    <s v="US-2016-105578"/>
    <x v="198"/>
    <d v="2016-06-04T00:00:00"/>
    <x v="1"/>
    <s v="MY-17380"/>
    <s v="Maribeth Yedwab"/>
    <x v="1"/>
    <s v="United States"/>
    <s v="Parker"/>
    <s v="Colorado"/>
    <n v="80134"/>
    <x v="1"/>
    <s v="FUR-CH-10001215"/>
    <x v="0"/>
    <x v="1"/>
    <x v="445"/>
    <n v="801.56799999999998"/>
    <n v="2"/>
    <x v="2"/>
    <x v="490"/>
    <s v="Valid"/>
    <n v="267.07"/>
    <n v="656.2656164"/>
    <s v="Normal"/>
    <n v="5"/>
    <n v="6.25E-2"/>
    <n v="641.25440000000003"/>
  </r>
  <r>
    <n v="504"/>
    <s v="US-2016-105578"/>
    <x v="198"/>
    <d v="2016-06-04T00:00:00"/>
    <x v="1"/>
    <s v="MY-17380"/>
    <s v="Maribeth Yedwab"/>
    <x v="1"/>
    <s v="United States"/>
    <s v="Parker"/>
    <s v="Colorado"/>
    <n v="80134"/>
    <x v="1"/>
    <s v="OFF-BI-10000831"/>
    <x v="1"/>
    <x v="8"/>
    <x v="446"/>
    <n v="2.3759999999999999"/>
    <n v="3"/>
    <x v="6"/>
    <x v="491"/>
    <s v="Valid"/>
    <n v="267.07"/>
    <n v="656.2656164"/>
    <s v="Normal"/>
    <n v="5"/>
    <n v="-0.8"/>
    <n v="0.7128000000000001"/>
  </r>
  <r>
    <n v="505"/>
    <s v="US-2016-105578"/>
    <x v="198"/>
    <d v="2016-06-04T00:00:00"/>
    <x v="1"/>
    <s v="MY-17380"/>
    <s v="Maribeth Yedwab"/>
    <x v="1"/>
    <s v="United States"/>
    <s v="Parker"/>
    <s v="Colorado"/>
    <n v="80134"/>
    <x v="1"/>
    <s v="OFF-PA-10000357"/>
    <x v="1"/>
    <x v="10"/>
    <x v="447"/>
    <n v="32.792000000000002"/>
    <n v="1"/>
    <x v="2"/>
    <x v="492"/>
    <s v="Valid"/>
    <n v="267.07"/>
    <n v="656.2656164"/>
    <s v="Normal"/>
    <n v="5"/>
    <n v="0.36249999999999999"/>
    <n v="26.233600000000003"/>
  </r>
  <r>
    <n v="506"/>
    <s v="CA-2017-134978"/>
    <x v="105"/>
    <d v="2017-11-15T00:00:00"/>
    <x v="0"/>
    <s v="EB-13705"/>
    <s v="Ed Braxton"/>
    <x v="1"/>
    <s v="United States"/>
    <s v="New York City"/>
    <s v="New York"/>
    <n v="10024"/>
    <x v="3"/>
    <s v="OFF-BI-10003274"/>
    <x v="1"/>
    <x v="8"/>
    <x v="122"/>
    <n v="15.92"/>
    <n v="5"/>
    <x v="2"/>
    <x v="493"/>
    <s v="Valid"/>
    <n v="267.07"/>
    <n v="656.2656164"/>
    <s v="Normal"/>
    <n v="3"/>
    <n v="0.33750000000000002"/>
    <n v="12.736000000000001"/>
  </r>
  <r>
    <n v="507"/>
    <s v="CA-2015-145352"/>
    <x v="199"/>
    <d v="2015-03-22T00:00:00"/>
    <x v="1"/>
    <s v="CM-12385"/>
    <s v="Christopher Martinez"/>
    <x v="0"/>
    <s v="United States"/>
    <s v="Atlanta"/>
    <s v="Georgia"/>
    <n v="30318"/>
    <x v="0"/>
    <s v="OFF-AR-10001662"/>
    <x v="1"/>
    <x v="6"/>
    <x v="448"/>
    <n v="2.74"/>
    <n v="1"/>
    <x v="0"/>
    <x v="494"/>
    <s v="Valid"/>
    <n v="267.07"/>
    <n v="656.2656164"/>
    <s v="Normal"/>
    <n v="6"/>
    <n v="0.26999999999999996"/>
    <n v="2.74"/>
  </r>
  <r>
    <n v="508"/>
    <s v="CA-2015-145352"/>
    <x v="199"/>
    <d v="2015-03-22T00:00:00"/>
    <x v="1"/>
    <s v="CM-12385"/>
    <s v="Christopher Martinez"/>
    <x v="0"/>
    <s v="United States"/>
    <s v="Atlanta"/>
    <s v="Georgia"/>
    <n v="30318"/>
    <x v="0"/>
    <s v="OFF-AR-10003856"/>
    <x v="1"/>
    <x v="6"/>
    <x v="449"/>
    <n v="8.34"/>
    <n v="3"/>
    <x v="0"/>
    <x v="495"/>
    <s v="Valid"/>
    <n v="267.07"/>
    <n v="656.2656164"/>
    <s v="Normal"/>
    <n v="6"/>
    <n v="0.26"/>
    <n v="8.34"/>
  </r>
  <r>
    <n v="509"/>
    <s v="CA-2015-145352"/>
    <x v="199"/>
    <d v="2015-03-22T00:00:00"/>
    <x v="1"/>
    <s v="CM-12385"/>
    <s v="Christopher Martinez"/>
    <x v="0"/>
    <s v="United States"/>
    <s v="Atlanta"/>
    <s v="Georgia"/>
    <n v="30318"/>
    <x v="0"/>
    <s v="OFF-ST-10001228"/>
    <x v="1"/>
    <x v="4"/>
    <x v="450"/>
    <n v="46.74"/>
    <n v="3"/>
    <x v="0"/>
    <x v="496"/>
    <s v="Valid"/>
    <n v="267.07"/>
    <n v="656.2656164"/>
    <s v="Normal"/>
    <n v="6"/>
    <n v="0.25"/>
    <n v="46.74"/>
  </r>
  <r>
    <n v="510"/>
    <s v="CA-2015-145352"/>
    <x v="199"/>
    <d v="2015-03-22T00:00:00"/>
    <x v="1"/>
    <s v="CM-12385"/>
    <s v="Christopher Martinez"/>
    <x v="0"/>
    <s v="United States"/>
    <s v="Atlanta"/>
    <s v="Georgia"/>
    <n v="30318"/>
    <x v="0"/>
    <s v="OFF-BI-10003527"/>
    <x v="1"/>
    <x v="8"/>
    <x v="451"/>
    <n v="6354.95"/>
    <n v="5"/>
    <x v="0"/>
    <x v="497"/>
    <s v="Valid"/>
    <n v="267.07"/>
    <n v="656.2656164"/>
    <s v="High Outlier"/>
    <n v="6"/>
    <n v="0.5"/>
    <n v="6354.95"/>
  </r>
  <r>
    <n v="511"/>
    <s v="CA-2017-135307"/>
    <x v="200"/>
    <d v="2017-11-27T00:00:00"/>
    <x v="2"/>
    <s v="LS-17245"/>
    <s v="Lynn Smith"/>
    <x v="0"/>
    <s v="United States"/>
    <s v="Gladstone"/>
    <s v="Missouri"/>
    <n v="64118"/>
    <x v="2"/>
    <s v="FUR-FU-10001290"/>
    <x v="0"/>
    <x v="5"/>
    <x v="452"/>
    <n v="126.3"/>
    <n v="3"/>
    <x v="0"/>
    <x v="498"/>
    <s v="Valid"/>
    <n v="267.07"/>
    <n v="656.2656164"/>
    <s v="Normal"/>
    <n v="1"/>
    <n v="0.32"/>
    <n v="126.3"/>
  </r>
  <r>
    <n v="512"/>
    <s v="CA-2017-135307"/>
    <x v="200"/>
    <d v="2017-11-27T00:00:00"/>
    <x v="2"/>
    <s v="LS-17245"/>
    <s v="Lynn Smith"/>
    <x v="0"/>
    <s v="United States"/>
    <s v="Gladstone"/>
    <s v="Missouri"/>
    <n v="64118"/>
    <x v="2"/>
    <s v="TEC-AC-10002399"/>
    <x v="2"/>
    <x v="11"/>
    <x v="453"/>
    <n v="38.04"/>
    <n v="2"/>
    <x v="0"/>
    <x v="499"/>
    <s v="Valid"/>
    <n v="267.07"/>
    <n v="656.2656164"/>
    <s v="Normal"/>
    <n v="1"/>
    <n v="0.32"/>
    <n v="38.04"/>
  </r>
  <r>
    <n v="513"/>
    <s v="CA-2016-106341"/>
    <x v="201"/>
    <d v="2016-10-23T00:00:00"/>
    <x v="2"/>
    <s v="LF-17185"/>
    <s v="Luke Foster"/>
    <x v="0"/>
    <s v="United States"/>
    <s v="Newark"/>
    <s v="Ohio"/>
    <n v="43055"/>
    <x v="3"/>
    <s v="OFF-AR-10002053"/>
    <x v="1"/>
    <x v="6"/>
    <x v="79"/>
    <n v="7.1520000000000001"/>
    <n v="3"/>
    <x v="2"/>
    <x v="500"/>
    <s v="Valid"/>
    <n v="267.07"/>
    <n v="656.2656164"/>
    <s v="Normal"/>
    <n v="3"/>
    <n v="9.9999999999999992E-2"/>
    <n v="5.7216000000000005"/>
  </r>
  <r>
    <n v="514"/>
    <s v="CA-2017-163405"/>
    <x v="202"/>
    <d v="2017-12-25T00:00:00"/>
    <x v="1"/>
    <s v="BN-11515"/>
    <s v="Bradley Nguyen"/>
    <x v="0"/>
    <s v="United States"/>
    <s v="Los Angeles"/>
    <s v="California"/>
    <n v="90049"/>
    <x v="1"/>
    <s v="OFF-AR-10003811"/>
    <x v="1"/>
    <x v="6"/>
    <x v="454"/>
    <n v="6.63"/>
    <n v="3"/>
    <x v="0"/>
    <x v="155"/>
    <s v="Valid"/>
    <n v="267.07"/>
    <n v="656.2656164"/>
    <s v="Normal"/>
    <n v="4"/>
    <n v="0.27"/>
    <n v="6.63"/>
  </r>
  <r>
    <n v="515"/>
    <s v="CA-2017-163405"/>
    <x v="202"/>
    <d v="2017-12-25T00:00:00"/>
    <x v="1"/>
    <s v="BN-11515"/>
    <s v="Bradley Nguyen"/>
    <x v="0"/>
    <s v="United States"/>
    <s v="Los Angeles"/>
    <s v="California"/>
    <n v="90049"/>
    <x v="1"/>
    <s v="OFF-AR-10001246"/>
    <x v="1"/>
    <x v="6"/>
    <x v="455"/>
    <n v="5.88"/>
    <n v="2"/>
    <x v="0"/>
    <x v="501"/>
    <s v="Valid"/>
    <n v="267.07"/>
    <n v="656.2656164"/>
    <s v="Normal"/>
    <n v="4"/>
    <n v="0.29000000000000004"/>
    <n v="5.88"/>
  </r>
  <r>
    <n v="516"/>
    <s v="CA-2017-127432"/>
    <x v="203"/>
    <d v="2017-01-27T00:00:00"/>
    <x v="1"/>
    <s v="AD-10180"/>
    <s v="Alan Dominguez"/>
    <x v="2"/>
    <s v="United States"/>
    <s v="Great Falls"/>
    <s v="Montana"/>
    <n v="59405"/>
    <x v="1"/>
    <s v="TEC-CO-10003236"/>
    <x v="2"/>
    <x v="16"/>
    <x v="456"/>
    <n v="2999.95"/>
    <n v="5"/>
    <x v="0"/>
    <x v="502"/>
    <s v="Valid"/>
    <n v="267.07"/>
    <n v="656.2656164"/>
    <s v="High Outlier"/>
    <n v="5"/>
    <n v="0.46000000000000008"/>
    <n v="2999.95"/>
  </r>
  <r>
    <n v="517"/>
    <s v="CA-2017-127432"/>
    <x v="203"/>
    <d v="2017-01-27T00:00:00"/>
    <x v="1"/>
    <s v="AD-10180"/>
    <s v="Alan Dominguez"/>
    <x v="2"/>
    <s v="United States"/>
    <s v="Great Falls"/>
    <s v="Montana"/>
    <n v="59405"/>
    <x v="1"/>
    <s v="OFF-ST-10004507"/>
    <x v="1"/>
    <x v="4"/>
    <x v="457"/>
    <n v="51.45"/>
    <n v="3"/>
    <x v="0"/>
    <x v="503"/>
    <s v="Valid"/>
    <n v="267.07"/>
    <n v="656.2656164"/>
    <s v="Normal"/>
    <n v="5"/>
    <n v="0.27"/>
    <n v="51.45"/>
  </r>
  <r>
    <n v="518"/>
    <s v="CA-2017-127432"/>
    <x v="203"/>
    <d v="2017-01-27T00:00:00"/>
    <x v="1"/>
    <s v="AD-10180"/>
    <s v="Alan Dominguez"/>
    <x v="2"/>
    <s v="United States"/>
    <s v="Great Falls"/>
    <s v="Montana"/>
    <n v="59405"/>
    <x v="1"/>
    <s v="OFF-PA-10001667"/>
    <x v="1"/>
    <x v="10"/>
    <x v="458"/>
    <n v="11.96"/>
    <n v="2"/>
    <x v="0"/>
    <x v="504"/>
    <s v="Valid"/>
    <n v="267.07"/>
    <n v="656.2656164"/>
    <s v="Normal"/>
    <n v="5"/>
    <n v="0.44999999999999996"/>
    <n v="11.96"/>
  </r>
  <r>
    <n v="519"/>
    <s v="CA-2017-127432"/>
    <x v="203"/>
    <d v="2017-01-27T00:00:00"/>
    <x v="1"/>
    <s v="AD-10180"/>
    <s v="Alan Dominguez"/>
    <x v="2"/>
    <s v="United States"/>
    <s v="Great Falls"/>
    <s v="Montana"/>
    <n v="59405"/>
    <x v="1"/>
    <s v="OFF-ST-10004459"/>
    <x v="1"/>
    <x v="4"/>
    <x v="459"/>
    <n v="1126.02"/>
    <n v="3"/>
    <x v="0"/>
    <x v="505"/>
    <s v="Valid"/>
    <n v="267.07"/>
    <n v="656.2656164"/>
    <s v="Normal"/>
    <n v="5"/>
    <n v="0.05"/>
    <n v="1126.02"/>
  </r>
  <r>
    <n v="520"/>
    <s v="CA-2015-157812"/>
    <x v="204"/>
    <d v="2015-03-26T00:00:00"/>
    <x v="1"/>
    <s v="DB-13210"/>
    <s v="Dean Braden"/>
    <x v="0"/>
    <s v="United States"/>
    <s v="Houston"/>
    <s v="Texas"/>
    <n v="77041"/>
    <x v="2"/>
    <s v="TEC-AC-10000171"/>
    <x v="2"/>
    <x v="11"/>
    <x v="43"/>
    <n v="18.391999999999999"/>
    <n v="1"/>
    <x v="2"/>
    <x v="506"/>
    <s v="Valid"/>
    <n v="267.07"/>
    <n v="656.2656164"/>
    <s v="Normal"/>
    <n v="4"/>
    <n v="0.28750000000000003"/>
    <n v="14.7136"/>
  </r>
  <r>
    <n v="521"/>
    <s v="CA-2015-157812"/>
    <x v="204"/>
    <d v="2015-03-26T00:00:00"/>
    <x v="1"/>
    <s v="DB-13210"/>
    <s v="Dean Braden"/>
    <x v="0"/>
    <s v="United States"/>
    <s v="Houston"/>
    <s v="Texas"/>
    <n v="77041"/>
    <x v="2"/>
    <s v="OFF-ST-10000736"/>
    <x v="1"/>
    <x v="4"/>
    <x v="460"/>
    <n v="129.56800000000001"/>
    <n v="2"/>
    <x v="2"/>
    <x v="507"/>
    <s v="Valid"/>
    <n v="267.07"/>
    <n v="656.2656164"/>
    <s v="Normal"/>
    <n v="4"/>
    <n v="-0.19999999999999998"/>
    <n v="103.65440000000001"/>
  </r>
  <r>
    <n v="522"/>
    <s v="CA-2015-157812"/>
    <x v="204"/>
    <d v="2015-03-26T00:00:00"/>
    <x v="1"/>
    <s v="DB-13210"/>
    <s v="Dean Braden"/>
    <x v="0"/>
    <s v="United States"/>
    <s v="Houston"/>
    <s v="Texas"/>
    <n v="77041"/>
    <x v="2"/>
    <s v="OFF-BI-10000285"/>
    <x v="1"/>
    <x v="8"/>
    <x v="461"/>
    <n v="14.112"/>
    <n v="9"/>
    <x v="3"/>
    <x v="508"/>
    <s v="Valid"/>
    <n v="267.07"/>
    <n v="656.2656164"/>
    <s v="Normal"/>
    <n v="4"/>
    <n v="-1.5"/>
    <n v="2.8223999999999996"/>
  </r>
  <r>
    <n v="523"/>
    <s v="CA-2017-145142"/>
    <x v="205"/>
    <d v="2017-01-25T00:00:00"/>
    <x v="2"/>
    <s v="MC-17605"/>
    <s v="Matt Connell"/>
    <x v="1"/>
    <s v="United States"/>
    <s v="Detroit"/>
    <s v="Michigan"/>
    <n v="48234"/>
    <x v="2"/>
    <s v="FUR-TA-10001857"/>
    <x v="0"/>
    <x v="3"/>
    <x v="438"/>
    <n v="210.98"/>
    <n v="2"/>
    <x v="0"/>
    <x v="509"/>
    <s v="Valid"/>
    <n v="267.07"/>
    <n v="656.2656164"/>
    <s v="Normal"/>
    <n v="2"/>
    <n v="0.1"/>
    <n v="210.98"/>
  </r>
  <r>
    <n v="524"/>
    <s v="US-2016-139486"/>
    <x v="206"/>
    <d v="2016-05-23T00:00:00"/>
    <x v="2"/>
    <s v="LH-17155"/>
    <s v="Logan Haushalter"/>
    <x v="0"/>
    <s v="United States"/>
    <s v="Los Angeles"/>
    <s v="California"/>
    <n v="90032"/>
    <x v="1"/>
    <s v="TEC-PH-10003555"/>
    <x v="2"/>
    <x v="7"/>
    <x v="462"/>
    <n v="55.176000000000002"/>
    <n v="3"/>
    <x v="2"/>
    <x v="510"/>
    <s v="Valid"/>
    <n v="267.07"/>
    <n v="656.2656164"/>
    <s v="Normal"/>
    <n v="2"/>
    <n v="-0.22500000000000001"/>
    <n v="44.140800000000006"/>
  </r>
  <r>
    <n v="525"/>
    <s v="US-2016-139486"/>
    <x v="206"/>
    <d v="2016-05-23T00:00:00"/>
    <x v="2"/>
    <s v="LH-17155"/>
    <s v="Logan Haushalter"/>
    <x v="0"/>
    <s v="United States"/>
    <s v="Los Angeles"/>
    <s v="California"/>
    <n v="90032"/>
    <x v="1"/>
    <s v="TEC-AC-10003832"/>
    <x v="2"/>
    <x v="11"/>
    <x v="463"/>
    <n v="66.260000000000005"/>
    <n v="2"/>
    <x v="0"/>
    <x v="511"/>
    <s v="Valid"/>
    <n v="267.07"/>
    <n v="656.2656164"/>
    <s v="Normal"/>
    <n v="2"/>
    <n v="0.41"/>
    <n v="66.260000000000005"/>
  </r>
  <r>
    <n v="526"/>
    <s v="CA-2015-158792"/>
    <x v="207"/>
    <d v="2016-01-02T00:00:00"/>
    <x v="1"/>
    <s v="BD-11605"/>
    <s v="Brian Dahlen"/>
    <x v="0"/>
    <s v="United States"/>
    <s v="Lawrence"/>
    <s v="Massachusetts"/>
    <n v="1841"/>
    <x v="3"/>
    <s v="OFF-FA-10002815"/>
    <x v="1"/>
    <x v="13"/>
    <x v="128"/>
    <n v="22.2"/>
    <n v="5"/>
    <x v="0"/>
    <x v="512"/>
    <s v="Valid"/>
    <n v="267.07"/>
    <n v="656.2656164"/>
    <s v="Normal"/>
    <n v="7"/>
    <n v="0.47"/>
    <n v="22.2"/>
  </r>
  <r>
    <n v="527"/>
    <s v="CA-2017-113558"/>
    <x v="208"/>
    <d v="2017-10-26T00:00:00"/>
    <x v="1"/>
    <s v="PH-18790"/>
    <s v="Patricia Hirasaki"/>
    <x v="2"/>
    <s v="United States"/>
    <s v="Lakeland"/>
    <s v="Florida"/>
    <n v="33801"/>
    <x v="0"/>
    <s v="FUR-CH-10003379"/>
    <x v="0"/>
    <x v="1"/>
    <x v="464"/>
    <n v="683.952"/>
    <n v="3"/>
    <x v="2"/>
    <x v="513"/>
    <s v="Valid"/>
    <n v="267.07"/>
    <n v="656.2656164"/>
    <s v="Normal"/>
    <n v="5"/>
    <n v="6.25E-2"/>
    <n v="547.16160000000002"/>
  </r>
  <r>
    <n v="528"/>
    <s v="CA-2017-113558"/>
    <x v="208"/>
    <d v="2017-10-26T00:00:00"/>
    <x v="1"/>
    <s v="PH-18790"/>
    <s v="Patricia Hirasaki"/>
    <x v="2"/>
    <s v="United States"/>
    <s v="Lakeland"/>
    <s v="Florida"/>
    <n v="33801"/>
    <x v="0"/>
    <s v="FUR-FU-10001756"/>
    <x v="0"/>
    <x v="5"/>
    <x v="285"/>
    <n v="45.695999999999998"/>
    <n v="3"/>
    <x v="2"/>
    <x v="514"/>
    <s v="Valid"/>
    <n v="267.07"/>
    <n v="656.2656164"/>
    <s v="Normal"/>
    <n v="5"/>
    <n v="0.1125"/>
    <n v="36.556800000000003"/>
  </r>
  <r>
    <n v="529"/>
    <s v="US-2015-138303"/>
    <x v="37"/>
    <d v="2015-09-07T00:00:00"/>
    <x v="1"/>
    <s v="MG-18145"/>
    <s v="Mike Gockenbach"/>
    <x v="0"/>
    <s v="United States"/>
    <s v="Philadelphia"/>
    <s v="Pennsylvania"/>
    <n v="19134"/>
    <x v="3"/>
    <s v="OFF-ST-10004963"/>
    <x v="1"/>
    <x v="4"/>
    <x v="465"/>
    <n v="36.335999999999999"/>
    <n v="3"/>
    <x v="2"/>
    <x v="515"/>
    <s v="Valid"/>
    <n v="267.07"/>
    <n v="656.2656164"/>
    <s v="Normal"/>
    <n v="4"/>
    <n v="-0.2"/>
    <n v="29.0688"/>
  </r>
  <r>
    <n v="530"/>
    <s v="US-2015-138303"/>
    <x v="37"/>
    <d v="2015-09-07T00:00:00"/>
    <x v="1"/>
    <s v="MG-18145"/>
    <s v="Mike Gockenbach"/>
    <x v="0"/>
    <s v="United States"/>
    <s v="Philadelphia"/>
    <s v="Pennsylvania"/>
    <n v="19134"/>
    <x v="3"/>
    <s v="OFF-SU-10002881"/>
    <x v="1"/>
    <x v="14"/>
    <x v="466"/>
    <n v="666.24800000000005"/>
    <n v="1"/>
    <x v="2"/>
    <x v="516"/>
    <s v="Valid"/>
    <n v="267.07"/>
    <n v="656.2656164"/>
    <s v="Normal"/>
    <n v="4"/>
    <n v="-0.22499999999999998"/>
    <n v="532.99840000000006"/>
  </r>
  <r>
    <n v="531"/>
    <s v="US-2015-138303"/>
    <x v="37"/>
    <d v="2015-09-07T00:00:00"/>
    <x v="1"/>
    <s v="MG-18145"/>
    <s v="Mike Gockenbach"/>
    <x v="0"/>
    <s v="United States"/>
    <s v="Philadelphia"/>
    <s v="Pennsylvania"/>
    <n v="19134"/>
    <x v="3"/>
    <s v="OFF-EN-10001335"/>
    <x v="1"/>
    <x v="12"/>
    <x v="467"/>
    <n v="52.512"/>
    <n v="6"/>
    <x v="2"/>
    <x v="517"/>
    <s v="Valid"/>
    <n v="267.07"/>
    <n v="656.2656164"/>
    <s v="Normal"/>
    <n v="4"/>
    <n v="0.375"/>
    <n v="42.009600000000006"/>
  </r>
  <r>
    <n v="532"/>
    <s v="CA-2015-102848"/>
    <x v="209"/>
    <d v="2015-11-09T00:00:00"/>
    <x v="0"/>
    <s v="KB-16240"/>
    <s v="Karen Bern"/>
    <x v="1"/>
    <s v="United States"/>
    <s v="Los Angeles"/>
    <s v="California"/>
    <n v="90036"/>
    <x v="1"/>
    <s v="FUR-CH-10000595"/>
    <x v="0"/>
    <x v="1"/>
    <x v="468"/>
    <n v="190.72"/>
    <n v="1"/>
    <x v="2"/>
    <x v="518"/>
    <s v="Valid"/>
    <n v="267.07"/>
    <n v="656.2656164"/>
    <s v="Normal"/>
    <n v="2"/>
    <n v="6.25E-2"/>
    <n v="152.57599999999999"/>
  </r>
  <r>
    <n v="533"/>
    <s v="US-2017-129441"/>
    <x v="210"/>
    <d v="2017-09-11T00:00:00"/>
    <x v="1"/>
    <s v="JC-15340"/>
    <s v="Jasper Cacioppo"/>
    <x v="0"/>
    <s v="United States"/>
    <s v="Los Angeles"/>
    <s v="California"/>
    <n v="90032"/>
    <x v="1"/>
    <s v="FUR-FU-10000448"/>
    <x v="0"/>
    <x v="5"/>
    <x v="469"/>
    <n v="47.94"/>
    <n v="3"/>
    <x v="0"/>
    <x v="519"/>
    <s v="Valid"/>
    <n v="267.07"/>
    <n v="656.2656164"/>
    <s v="Normal"/>
    <n v="4"/>
    <n v="4.9999999999999996E-2"/>
    <n v="47.94"/>
  </r>
  <r>
    <n v="534"/>
    <s v="CA-2016-168753"/>
    <x v="211"/>
    <d v="2016-06-01T00:00:00"/>
    <x v="0"/>
    <s v="RL-19615"/>
    <s v="Rob Lucas"/>
    <x v="0"/>
    <s v="United States"/>
    <s v="Montgomery"/>
    <s v="Alabama"/>
    <n v="36116"/>
    <x v="0"/>
    <s v="TEC-PH-10000984"/>
    <x v="2"/>
    <x v="7"/>
    <x v="470"/>
    <n v="979.95"/>
    <n v="5"/>
    <x v="0"/>
    <x v="520"/>
    <s v="Valid"/>
    <n v="267.07"/>
    <n v="656.2656164"/>
    <s v="Normal"/>
    <n v="3"/>
    <n v="0.28000000000000003"/>
    <n v="979.95"/>
  </r>
  <r>
    <n v="535"/>
    <s v="CA-2016-168753"/>
    <x v="211"/>
    <d v="2016-06-01T00:00:00"/>
    <x v="0"/>
    <s v="RL-19615"/>
    <s v="Rob Lucas"/>
    <x v="0"/>
    <s v="United States"/>
    <s v="Montgomery"/>
    <s v="Alabama"/>
    <n v="36116"/>
    <x v="0"/>
    <s v="OFF-BI-10002557"/>
    <x v="1"/>
    <x v="8"/>
    <x v="249"/>
    <n v="22.75"/>
    <n v="5"/>
    <x v="0"/>
    <x v="521"/>
    <s v="Valid"/>
    <n v="267.07"/>
    <n v="656.2656164"/>
    <s v="Normal"/>
    <n v="3"/>
    <n v="0.5"/>
    <n v="22.75"/>
  </r>
  <r>
    <n v="536"/>
    <s v="CA-2016-126613"/>
    <x v="212"/>
    <d v="2016-07-16T00:00:00"/>
    <x v="1"/>
    <s v="AA-10375"/>
    <s v="Allen Armold"/>
    <x v="0"/>
    <s v="United States"/>
    <s v="Mesa"/>
    <s v="Arizona"/>
    <n v="85204"/>
    <x v="1"/>
    <s v="OFF-ST-10001325"/>
    <x v="1"/>
    <x v="4"/>
    <x v="471"/>
    <n v="16.768000000000001"/>
    <n v="2"/>
    <x v="2"/>
    <x v="522"/>
    <s v="Valid"/>
    <n v="267.07"/>
    <n v="656.2656164"/>
    <s v="Normal"/>
    <n v="6"/>
    <n v="8.7499999999999994E-2"/>
    <n v="13.414400000000001"/>
  </r>
  <r>
    <n v="537"/>
    <s v="US-2017-122637"/>
    <x v="213"/>
    <d v="2017-09-08T00:00:00"/>
    <x v="0"/>
    <s v="EP-13915"/>
    <s v="Emily Phan"/>
    <x v="0"/>
    <s v="United States"/>
    <s v="Chicago"/>
    <s v="Illinois"/>
    <n v="60653"/>
    <x v="2"/>
    <s v="OFF-BI-10002429"/>
    <x v="1"/>
    <x v="8"/>
    <x v="472"/>
    <n v="42.616"/>
    <n v="7"/>
    <x v="3"/>
    <x v="523"/>
    <s v="Valid"/>
    <n v="267.07"/>
    <n v="656.2656164"/>
    <s v="Normal"/>
    <n v="5"/>
    <n v="-1.5999999999999999"/>
    <n v="8.5231999999999974"/>
  </r>
  <r>
    <n v="538"/>
    <s v="CA-2015-147851"/>
    <x v="155"/>
    <d v="2015-12-08T00:00:00"/>
    <x v="1"/>
    <s v="MP-17470"/>
    <s v="Mark Packer"/>
    <x v="2"/>
    <s v="United States"/>
    <s v="New York City"/>
    <s v="New York"/>
    <n v="10009"/>
    <x v="3"/>
    <s v="OFF-BI-10004528"/>
    <x v="1"/>
    <x v="8"/>
    <x v="473"/>
    <n v="10.752000000000001"/>
    <n v="4"/>
    <x v="2"/>
    <x v="524"/>
    <s v="Valid"/>
    <n v="267.07"/>
    <n v="656.2656164"/>
    <s v="Normal"/>
    <n v="5"/>
    <n v="0.31249999999999994"/>
    <n v="8.6016000000000012"/>
  </r>
  <r>
    <n v="539"/>
    <s v="CA-2015-134894"/>
    <x v="214"/>
    <d v="2015-12-11T00:00:00"/>
    <x v="1"/>
    <s v="DK-12985"/>
    <s v="Darren Koutras"/>
    <x v="0"/>
    <s v="United States"/>
    <s v="Henderson"/>
    <s v="Kentucky"/>
    <n v="42420"/>
    <x v="0"/>
    <s v="OFF-AP-10001271"/>
    <x v="1"/>
    <x v="9"/>
    <x v="474"/>
    <n v="152.94"/>
    <n v="3"/>
    <x v="0"/>
    <x v="525"/>
    <s v="Valid"/>
    <n v="267.07"/>
    <n v="656.2656164"/>
    <s v="Normal"/>
    <n v="4"/>
    <n v="0.26999999999999996"/>
    <n v="152.94"/>
  </r>
  <r>
    <n v="540"/>
    <s v="CA-2015-134894"/>
    <x v="214"/>
    <d v="2015-12-11T00:00:00"/>
    <x v="1"/>
    <s v="DK-12985"/>
    <s v="Darren Koutras"/>
    <x v="0"/>
    <s v="United States"/>
    <s v="Henderson"/>
    <s v="Kentucky"/>
    <n v="42420"/>
    <x v="0"/>
    <s v="FUR-CH-10002647"/>
    <x v="0"/>
    <x v="1"/>
    <x v="475"/>
    <n v="283.92"/>
    <n v="4"/>
    <x v="0"/>
    <x v="526"/>
    <s v="Valid"/>
    <n v="267.07"/>
    <n v="656.2656164"/>
    <s v="Normal"/>
    <n v="4"/>
    <n v="0.25"/>
    <n v="283.92"/>
  </r>
  <r>
    <n v="541"/>
    <s v="CA-2014-140795"/>
    <x v="215"/>
    <d v="2014-02-03T00:00:00"/>
    <x v="2"/>
    <s v="BD-11500"/>
    <s v="Bradley Drucker"/>
    <x v="0"/>
    <s v="United States"/>
    <s v="Green Bay"/>
    <s v="Wisconsin"/>
    <n v="54302"/>
    <x v="2"/>
    <s v="TEC-AC-10001432"/>
    <x v="2"/>
    <x v="11"/>
    <x v="476"/>
    <n v="468.9"/>
    <n v="6"/>
    <x v="0"/>
    <x v="527"/>
    <s v="Valid"/>
    <n v="267.07"/>
    <n v="656.2656164"/>
    <s v="Normal"/>
    <n v="2"/>
    <n v="0.44"/>
    <n v="468.9"/>
  </r>
  <r>
    <n v="542"/>
    <s v="CA-2016-136924"/>
    <x v="216"/>
    <d v="2016-07-17T00:00:00"/>
    <x v="2"/>
    <s v="ES-14080"/>
    <s v="Erin Smith"/>
    <x v="1"/>
    <s v="United States"/>
    <s v="Tucson"/>
    <s v="Arizona"/>
    <n v="85705"/>
    <x v="1"/>
    <s v="TEC-PH-10002262"/>
    <x v="2"/>
    <x v="7"/>
    <x v="477"/>
    <n v="380.86399999999998"/>
    <n v="8"/>
    <x v="2"/>
    <x v="528"/>
    <s v="Valid"/>
    <n v="267.07"/>
    <n v="656.2656164"/>
    <s v="Normal"/>
    <n v="3"/>
    <n v="0.1"/>
    <n v="304.69119999999998"/>
  </r>
  <r>
    <n v="543"/>
    <s v="US-2015-120161"/>
    <x v="217"/>
    <d v="2015-12-23T00:00:00"/>
    <x v="1"/>
    <s v="LM-17065"/>
    <s v="Liz MacKendrick"/>
    <x v="0"/>
    <s v="United States"/>
    <s v="Springfield"/>
    <s v="Ohio"/>
    <n v="45503"/>
    <x v="3"/>
    <s v="OFF-ST-10001809"/>
    <x v="1"/>
    <x v="4"/>
    <x v="435"/>
    <n v="646.77599999999995"/>
    <n v="9"/>
    <x v="2"/>
    <x v="529"/>
    <s v="Valid"/>
    <n v="267.07"/>
    <n v="656.2656164"/>
    <s v="Normal"/>
    <n v="5"/>
    <n v="-0.22500000000000001"/>
    <n v="517.42079999999999"/>
  </r>
  <r>
    <n v="544"/>
    <s v="CA-2014-103849"/>
    <x v="218"/>
    <d v="2014-05-16T00:00:00"/>
    <x v="1"/>
    <s v="PG-18895"/>
    <s v="Paul Gonzalez"/>
    <x v="0"/>
    <s v="United States"/>
    <s v="Fort Worth"/>
    <s v="Texas"/>
    <n v="76106"/>
    <x v="2"/>
    <s v="TEC-AC-10001465"/>
    <x v="2"/>
    <x v="11"/>
    <x v="478"/>
    <n v="58.112000000000002"/>
    <n v="2"/>
    <x v="2"/>
    <x v="530"/>
    <s v="Valid"/>
    <n v="267.07"/>
    <n v="656.2656164"/>
    <s v="Normal"/>
    <n v="5"/>
    <n v="0.125"/>
    <n v="46.489600000000003"/>
  </r>
  <r>
    <n v="545"/>
    <s v="CA-2014-103849"/>
    <x v="218"/>
    <d v="2014-05-16T00:00:00"/>
    <x v="1"/>
    <s v="PG-18895"/>
    <s v="Paul Gonzalez"/>
    <x v="0"/>
    <s v="United States"/>
    <s v="Fort Worth"/>
    <s v="Texas"/>
    <n v="76106"/>
    <x v="2"/>
    <s v="TEC-PH-10002597"/>
    <x v="2"/>
    <x v="7"/>
    <x v="479"/>
    <n v="100.792"/>
    <n v="1"/>
    <x v="2"/>
    <x v="531"/>
    <s v="Valid"/>
    <n v="267.07"/>
    <n v="656.2656164"/>
    <s v="Normal"/>
    <n v="5"/>
    <n v="6.25E-2"/>
    <n v="80.633600000000001"/>
  </r>
  <r>
    <n v="546"/>
    <s v="CA-2014-103849"/>
    <x v="218"/>
    <d v="2014-05-16T00:00:00"/>
    <x v="1"/>
    <s v="PG-18895"/>
    <s v="Paul Gonzalez"/>
    <x v="0"/>
    <s v="United States"/>
    <s v="Fort Worth"/>
    <s v="Texas"/>
    <n v="76106"/>
    <x v="2"/>
    <s v="FUR-FU-10000723"/>
    <x v="0"/>
    <x v="5"/>
    <x v="480"/>
    <n v="66.111999999999995"/>
    <n v="4"/>
    <x v="7"/>
    <x v="532"/>
    <s v="Valid"/>
    <n v="267.07"/>
    <n v="656.2656164"/>
    <s v="Normal"/>
    <n v="5"/>
    <n v="-1.2750000000000001"/>
    <n v="26.444800000000001"/>
  </r>
  <r>
    <n v="547"/>
    <s v="CA-2017-162929"/>
    <x v="123"/>
    <d v="2017-11-22T00:00:00"/>
    <x v="2"/>
    <s v="AS-10135"/>
    <s v="Adrian Shami"/>
    <x v="2"/>
    <s v="United States"/>
    <s v="New York City"/>
    <s v="New York"/>
    <n v="10035"/>
    <x v="3"/>
    <s v="OFF-BI-10000404"/>
    <x v="1"/>
    <x v="8"/>
    <x v="481"/>
    <n v="41.28"/>
    <n v="6"/>
    <x v="2"/>
    <x v="533"/>
    <s v="Valid"/>
    <n v="267.07"/>
    <n v="656.2656164"/>
    <s v="Normal"/>
    <n v="3"/>
    <n v="0.33750000000000002"/>
    <n v="33.024000000000001"/>
  </r>
  <r>
    <n v="548"/>
    <s v="CA-2017-162929"/>
    <x v="123"/>
    <d v="2017-11-22T00:00:00"/>
    <x v="2"/>
    <s v="AS-10135"/>
    <s v="Adrian Shami"/>
    <x v="2"/>
    <s v="United States"/>
    <s v="New York City"/>
    <s v="New York"/>
    <n v="10035"/>
    <x v="3"/>
    <s v="OFF-PA-10002986"/>
    <x v="1"/>
    <x v="10"/>
    <x v="482"/>
    <n v="13.36"/>
    <n v="2"/>
    <x v="0"/>
    <x v="534"/>
    <s v="Valid"/>
    <n v="267.07"/>
    <n v="656.2656164"/>
    <s v="Normal"/>
    <n v="3"/>
    <n v="0.48"/>
    <n v="13.36"/>
  </r>
  <r>
    <n v="549"/>
    <s v="CA-2015-113173"/>
    <x v="219"/>
    <d v="2015-11-17T00:00:00"/>
    <x v="0"/>
    <s v="DK-13225"/>
    <s v="Dean Katz"/>
    <x v="1"/>
    <s v="United States"/>
    <s v="Chicago"/>
    <s v="Illinois"/>
    <n v="60653"/>
    <x v="2"/>
    <s v="OFF-ST-10000604"/>
    <x v="1"/>
    <x v="4"/>
    <x v="54"/>
    <n v="250.27199999999999"/>
    <n v="9"/>
    <x v="2"/>
    <x v="535"/>
    <s v="Valid"/>
    <n v="267.07"/>
    <n v="656.2656164"/>
    <s v="Normal"/>
    <n v="2"/>
    <n v="6.25E-2"/>
    <n v="200.2176"/>
  </r>
  <r>
    <n v="550"/>
    <s v="CA-2015-113173"/>
    <x v="219"/>
    <d v="2015-11-17T00:00:00"/>
    <x v="0"/>
    <s v="DK-13225"/>
    <s v="Dean Katz"/>
    <x v="1"/>
    <s v="United States"/>
    <s v="Chicago"/>
    <s v="Illinois"/>
    <n v="60653"/>
    <x v="2"/>
    <s v="OFF-BI-10004738"/>
    <x v="1"/>
    <x v="8"/>
    <x v="92"/>
    <n v="11.364000000000001"/>
    <n v="3"/>
    <x v="3"/>
    <x v="536"/>
    <s v="Valid"/>
    <n v="267.07"/>
    <n v="656.2656164"/>
    <s v="Normal"/>
    <n v="2"/>
    <n v="-1.4999999999999998"/>
    <n v="2.2727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25E805-E75B-4255-AA8E-660716A101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9:C51" firstHeaderRow="0" firstDataRow="1" firstDataCol="1"/>
  <pivotFields count="28">
    <pivotField showAll="0"/>
    <pivotField showAll="0"/>
    <pivotField numFmtId="14" showAll="0"/>
    <pivotField numFmtId="14" showAll="0"/>
    <pivotField showAll="0"/>
    <pivotField showAll="0"/>
    <pivotField showAll="0"/>
    <pivotField axis="axisRow" showAll="0">
      <items count="4">
        <item x="0"/>
        <item h="1" x="1"/>
        <item h="1" x="2"/>
        <item t="default"/>
      </items>
    </pivotField>
    <pivotField showAll="0"/>
    <pivotField showAll="0"/>
    <pivotField showAll="0"/>
    <pivotField showAll="0"/>
    <pivotField showAll="0"/>
    <pivotField showAll="0"/>
    <pivotField showAll="0"/>
    <pivotField showAll="0"/>
    <pivotField showAll="0"/>
    <pivotField dataField="1" numFmtId="2" showAll="0"/>
    <pivotField numFmtId="2" showAll="0"/>
    <pivotField numFmtId="2" showAll="0"/>
    <pivotField dataField="1" numFmtId="2" showAll="0"/>
    <pivotField showAll="0"/>
    <pivotField numFmtId="2" showAll="0"/>
    <pivotField numFmtId="2" showAll="0"/>
    <pivotField showAll="0"/>
    <pivotField showAll="0"/>
    <pivotField showAll="0"/>
    <pivotField showAll="0"/>
  </pivotFields>
  <rowFields count="1">
    <field x="7"/>
  </rowFields>
  <rowItems count="2">
    <i>
      <x/>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EBA3D-C2F3-4C0E-9638-64CC8C3112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8:B82" firstHeaderRow="1" firstDataRow="1" firstDataCol="1"/>
  <pivotFields count="28">
    <pivotField showAll="0"/>
    <pivotField showAll="0"/>
    <pivotField numFmtId="14" showAll="0"/>
    <pivotField numFmtId="14" showAll="0"/>
    <pivotField axis="axisRow" showAll="0">
      <items count="5">
        <item x="2"/>
        <item h="1"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showAll="0"/>
    <pivotField numFmtId="2" showAll="0"/>
    <pivotField numFmtId="2" showAll="0"/>
    <pivotField showAll="0"/>
    <pivotField dataField="1" showAll="0"/>
    <pivotField showAll="0"/>
    <pivotField showAll="0"/>
  </pivotFields>
  <rowFields count="1">
    <field x="4"/>
  </rowFields>
  <rowItems count="4">
    <i>
      <x/>
    </i>
    <i>
      <x v="2"/>
    </i>
    <i>
      <x v="3"/>
    </i>
    <i t="grand">
      <x/>
    </i>
  </rowItems>
  <colItems count="1">
    <i/>
  </colItems>
  <dataFields count="1">
    <dataField name="Average of Shipping Days" fld="25"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9E81F-AC5C-40C2-9DF2-26EF1EE7C5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C19" firstHeaderRow="0"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numFmtId="2" showAll="0"/>
    <pivotField numFmtId="2" showAll="0"/>
    <pivotField dataField="1" numFmtId="2" showAll="0"/>
    <pivotField showAll="0"/>
    <pivotField numFmtId="2" showAll="0"/>
    <pivotField numFmtId="2"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4" count="1" selected="0">
            <x v="0"/>
          </reference>
        </references>
      </pivotArea>
    </chartFormat>
    <chartFormat chart="3" format="16">
      <pivotArea type="data" outline="0" fieldPosition="0">
        <references count="2">
          <reference field="4294967294" count="1" selected="0">
            <x v="1"/>
          </reference>
          <reference field="14" count="1" selected="0">
            <x v="1"/>
          </reference>
        </references>
      </pivotArea>
    </chartFormat>
    <chartFormat chart="3" format="17">
      <pivotArea type="data" outline="0" fieldPosition="0">
        <references count="2">
          <reference field="4294967294" count="1" selected="0">
            <x v="1"/>
          </reference>
          <reference field="14" count="1" selected="0">
            <x v="2"/>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1"/>
          </reference>
          <reference field="14" count="1" selected="0">
            <x v="0"/>
          </reference>
        </references>
      </pivotArea>
    </chartFormat>
    <chartFormat chart="0" format="6">
      <pivotArea type="data" outline="0" fieldPosition="0">
        <references count="2">
          <reference field="4294967294" count="1" selected="0">
            <x v="1"/>
          </reference>
          <reference field="14" count="1" selected="0">
            <x v="1"/>
          </reference>
        </references>
      </pivotArea>
    </chartFormat>
    <chartFormat chart="0" format="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4E47B-B9B4-4706-B9EA-60B3F1B9F9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B72" firstHeaderRow="1"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axis="axisRow" numFmtId="2" showAll="0">
      <items count="13">
        <item x="0"/>
        <item x="9"/>
        <item x="11"/>
        <item x="2"/>
        <item x="4"/>
        <item x="8"/>
        <item x="10"/>
        <item x="1"/>
        <item x="5"/>
        <item x="7"/>
        <item x="6"/>
        <item x="3"/>
        <item t="default"/>
      </items>
    </pivotField>
    <pivotField numFmtId="2" showAll="0"/>
    <pivotField showAll="0"/>
    <pivotField numFmtId="2" showAll="0"/>
    <pivotField numFmtId="2" showAll="0"/>
    <pivotField showAll="0"/>
    <pivotField showAll="0"/>
    <pivotField dataField="1"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Average of Profit Margin" fld="26" subtotal="average" baseField="19"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0AFACA-AEB6-433C-98DA-A1314703C03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87:D92" firstHeaderRow="0" firstDataRow="1" firstDataCol="1"/>
  <pivotFields count="28">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items count="484">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457"/>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481"/>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456"/>
        <item x="292"/>
        <item x="349"/>
        <item x="416"/>
        <item x="473"/>
        <item x="460"/>
        <item x="10"/>
        <item x="201"/>
        <item x="240"/>
        <item x="19"/>
        <item x="424"/>
        <item x="440"/>
        <item x="283"/>
        <item x="48"/>
        <item x="436"/>
        <item x="379"/>
        <item x="117"/>
        <item x="356"/>
        <item x="136"/>
        <item x="377"/>
        <item x="346"/>
        <item x="185"/>
        <item x="421"/>
        <item x="101"/>
        <item x="480"/>
        <item x="442"/>
        <item x="287"/>
        <item x="404"/>
        <item x="382"/>
        <item x="319"/>
        <item x="291"/>
        <item x="8"/>
        <item x="33"/>
        <item x="417"/>
        <item x="73"/>
        <item x="225"/>
        <item x="192"/>
        <item x="41"/>
        <item x="125"/>
        <item x="269"/>
        <item x="76"/>
        <item x="285"/>
        <item x="5"/>
        <item x="4"/>
        <item x="465"/>
        <item x="393"/>
        <item x="86"/>
        <item x="254"/>
        <item x="325"/>
        <item x="278"/>
        <item x="35"/>
        <item x="476"/>
        <item x="381"/>
        <item x="238"/>
        <item x="191"/>
        <item x="474"/>
        <item x="206"/>
        <item x="452"/>
        <item x="282"/>
        <item x="399"/>
        <item x="392"/>
        <item x="95"/>
        <item x="435"/>
        <item x="13"/>
        <item x="451"/>
        <item x="231"/>
        <item x="414"/>
        <item x="426"/>
        <item x="17"/>
        <item x="330"/>
        <item x="298"/>
        <item x="134"/>
        <item x="92"/>
        <item x="275"/>
        <item x="280"/>
        <item x="115"/>
        <item x="316"/>
        <item x="214"/>
        <item x="301"/>
        <item x="142"/>
        <item x="383"/>
        <item x="444"/>
        <item x="338"/>
        <item x="261"/>
        <item x="380"/>
        <item x="133"/>
        <item x="34"/>
        <item x="397"/>
        <item x="464"/>
        <item x="120"/>
        <item x="268"/>
        <item x="23"/>
        <item x="390"/>
        <item x="323"/>
        <item x="38"/>
        <item x="406"/>
        <item x="229"/>
        <item x="51"/>
        <item x="212"/>
        <item x="213"/>
        <item x="124"/>
        <item x="445"/>
        <item x="64"/>
        <item x="164"/>
        <item x="118"/>
        <item x="197"/>
        <item x="45"/>
        <item x="458"/>
        <item x="306"/>
        <item x="70"/>
        <item x="336"/>
        <item x="14"/>
        <item x="54"/>
        <item x="299"/>
        <item x="284"/>
        <item x="407"/>
        <item x="309"/>
        <item x="1"/>
        <item x="378"/>
        <item x="342"/>
        <item x="114"/>
        <item x="228"/>
        <item x="267"/>
        <item x="28"/>
        <item x="441"/>
        <item x="175"/>
        <item x="65"/>
        <item x="108"/>
        <item x="180"/>
        <item x="270"/>
        <item x="303"/>
        <item x="91"/>
        <item x="132"/>
        <item x="431"/>
        <item x="463"/>
        <item x="46"/>
        <item x="25"/>
        <item x="172"/>
        <item x="427"/>
        <item x="386"/>
        <item x="144"/>
        <item x="161"/>
        <item x="81"/>
        <item x="165"/>
        <item x="160"/>
        <item x="375"/>
        <item x="224"/>
        <item x="119"/>
        <item x="11"/>
        <item x="152"/>
        <item x="385"/>
        <item x="344"/>
        <item x="156"/>
        <item x="47"/>
        <item x="477"/>
        <item x="247"/>
        <item x="428"/>
        <item x="409"/>
        <item x="100"/>
        <item x="434"/>
        <item x="343"/>
        <item x="234"/>
        <item x="265"/>
        <item x="295"/>
        <item x="106"/>
        <item x="84"/>
        <item x="218"/>
        <item x="50"/>
        <item x="32"/>
        <item x="63"/>
        <item x="221"/>
        <item x="107"/>
        <item x="466"/>
        <item x="198"/>
        <item x="405"/>
        <item x="103"/>
        <item x="259"/>
        <item x="333"/>
        <item x="241"/>
        <item x="7"/>
        <item x="462"/>
        <item x="331"/>
        <item x="293"/>
        <item x="66"/>
        <item x="148"/>
        <item x="311"/>
        <item x="455"/>
        <item x="21"/>
        <item x="6"/>
        <item x="332"/>
        <item x="454"/>
        <item x="251"/>
        <item x="324"/>
        <item x="18"/>
        <item x="402"/>
        <item x="135"/>
        <item x="449"/>
        <item x="398"/>
        <item x="279"/>
        <item x="105"/>
        <item x="174"/>
        <item x="193"/>
        <item x="348"/>
        <item x="368"/>
        <item x="83"/>
        <item x="56"/>
        <item x="335"/>
        <item x="395"/>
        <item x="294"/>
        <item x="310"/>
        <item x="204"/>
        <item x="110"/>
        <item x="200"/>
        <item x="367"/>
        <item x="430"/>
        <item x="168"/>
        <item x="195"/>
        <item x="470"/>
        <item x="40"/>
        <item x="450"/>
        <item x="178"/>
        <item x="328"/>
        <item x="140"/>
        <item x="39"/>
        <item x="58"/>
        <item x="412"/>
        <item x="29"/>
        <item x="252"/>
        <item x="425"/>
        <item x="59"/>
        <item x="262"/>
        <item x="413"/>
        <item x="472"/>
        <item x="79"/>
        <item x="186"/>
        <item x="249"/>
        <item x="223"/>
        <item x="242"/>
        <item x="422"/>
        <item x="245"/>
        <item x="111"/>
        <item x="248"/>
        <item x="26"/>
        <item x="211"/>
        <item x="448"/>
        <item x="256"/>
        <item x="300"/>
        <item x="235"/>
        <item x="158"/>
        <item x="418"/>
        <item x="244"/>
        <item x="468"/>
        <item x="236"/>
        <item x="82"/>
        <item x="72"/>
        <item x="226"/>
        <item x="420"/>
        <item x="453"/>
        <item x="478"/>
        <item x="177"/>
        <item x="97"/>
        <item x="131"/>
        <item x="170"/>
        <item x="159"/>
        <item x="209"/>
        <item x="138"/>
        <item x="317"/>
        <item x="419"/>
        <item x="2"/>
        <item x="365"/>
        <item x="90"/>
        <item x="139"/>
        <item x="361"/>
        <item x="75"/>
        <item x="475"/>
        <item x="67"/>
        <item x="341"/>
        <item x="357"/>
        <item x="202"/>
        <item x="437"/>
        <item x="80"/>
        <item x="145"/>
        <item x="188"/>
        <item x="339"/>
        <item x="157"/>
        <item x="104"/>
        <item x="433"/>
        <item x="312"/>
        <item x="340"/>
        <item x="208"/>
        <item x="153"/>
        <item x="360"/>
        <item x="327"/>
        <item x="222"/>
        <item x="128"/>
        <item x="471"/>
        <item x="305"/>
        <item x="15"/>
        <item x="446"/>
        <item x="439"/>
        <item x="16"/>
        <item x="355"/>
        <item x="207"/>
        <item x="69"/>
        <item x="296"/>
        <item x="469"/>
        <item x="217"/>
        <item x="171"/>
        <item x="147"/>
        <item x="71"/>
        <item x="194"/>
        <item x="459"/>
        <item x="273"/>
        <item x="123"/>
        <item x="94"/>
        <item x="308"/>
        <item x="351"/>
        <item x="87"/>
        <item x="113"/>
        <item x="232"/>
        <item x="99"/>
        <item x="43"/>
        <item x="60"/>
        <item x="271"/>
        <item x="443"/>
        <item x="376"/>
        <item x="205"/>
        <item x="467"/>
        <item x="447"/>
        <item x="374"/>
        <item x="326"/>
        <item x="24"/>
        <item x="350"/>
        <item x="304"/>
        <item x="20"/>
        <item x="154"/>
        <item x="44"/>
        <item x="362"/>
        <item x="187"/>
        <item x="230"/>
        <item x="364"/>
        <item x="384"/>
        <item x="479"/>
        <item x="130"/>
        <item x="314"/>
        <item x="146"/>
        <item x="389"/>
        <item x="482"/>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x="461"/>
        <item t="default"/>
      </items>
    </pivotField>
    <pivotField dataField="1" numFmtId="2" showAll="0"/>
    <pivotField numFmtId="2" showAll="0"/>
    <pivotField numFmtId="2" showAll="0"/>
    <pivotField dataField="1" numFmtId="2" showAll="0"/>
    <pivotField showAll="0"/>
    <pivotField numFmtId="2" showAll="0"/>
    <pivotField numFmtId="2" showAll="0"/>
    <pivotField showAll="0"/>
    <pivotField showAll="0"/>
    <pivotField showAll="0"/>
    <pivotField showAll="0"/>
  </pivotFields>
  <rowFields count="1">
    <field x="12"/>
  </rowFields>
  <rowItems count="5">
    <i>
      <x/>
    </i>
    <i>
      <x v="1"/>
    </i>
    <i>
      <x v="2"/>
    </i>
    <i>
      <x v="3"/>
    </i>
    <i t="grand">
      <x/>
    </i>
  </rowItems>
  <colFields count="1">
    <field x="-2"/>
  </colFields>
  <colItems count="3">
    <i>
      <x/>
    </i>
    <i i="1">
      <x v="1"/>
    </i>
    <i i="2">
      <x v="2"/>
    </i>
  </colItems>
  <dataFields count="3">
    <dataField name="Sum of Sales" fld="17" baseField="12" baseItem="2"/>
    <dataField name="Count of Order ID" fld="1" subtotal="count"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9F02DC-5879-4F75-835A-788C501EEB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43" firstHeaderRow="1"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dataField="1" numFmtId="2" showAll="0">
      <items count="538">
        <item x="27"/>
        <item x="163"/>
        <item x="213"/>
        <item x="451"/>
        <item x="259"/>
        <item x="167"/>
        <item x="336"/>
        <item x="124"/>
        <item x="221"/>
        <item x="3"/>
        <item x="236"/>
        <item x="377"/>
        <item x="389"/>
        <item x="455"/>
        <item x="368"/>
        <item x="323"/>
        <item x="260"/>
        <item x="230"/>
        <item x="211"/>
        <item x="174"/>
        <item x="285"/>
        <item x="201"/>
        <item x="283"/>
        <item x="199"/>
        <item x="375"/>
        <item x="516"/>
        <item x="36"/>
        <item x="529"/>
        <item x="419"/>
        <item x="299"/>
        <item x="172"/>
        <item x="14"/>
        <item x="239"/>
        <item x="117"/>
        <item x="72"/>
        <item x="398"/>
        <item x="229"/>
        <item x="445"/>
        <item x="482"/>
        <item x="532"/>
        <item x="441"/>
        <item x="523"/>
        <item x="321"/>
        <item x="293"/>
        <item x="164"/>
        <item x="84"/>
        <item x="289"/>
        <item x="38"/>
        <item x="456"/>
        <item x="453"/>
        <item x="390"/>
        <item x="473"/>
        <item x="366"/>
        <item x="226"/>
        <item x="325"/>
        <item x="102"/>
        <item x="507"/>
        <item x="104"/>
        <item x="165"/>
        <item x="292"/>
        <item x="444"/>
        <item x="508"/>
        <item x="452"/>
        <item x="326"/>
        <item x="384"/>
        <item x="369"/>
        <item x="252"/>
        <item x="371"/>
        <item x="424"/>
        <item x="403"/>
        <item x="74"/>
        <item x="333"/>
        <item x="536"/>
        <item x="66"/>
        <item x="39"/>
        <item x="488"/>
        <item x="212"/>
        <item x="78"/>
        <item x="219"/>
        <item x="327"/>
        <item x="228"/>
        <item x="510"/>
        <item x="129"/>
        <item x="489"/>
        <item x="175"/>
        <item x="99"/>
        <item x="127"/>
        <item x="123"/>
        <item x="251"/>
        <item x="457"/>
        <item x="233"/>
        <item x="265"/>
        <item x="515"/>
        <item x="28"/>
        <item x="76"/>
        <item x="32"/>
        <item x="363"/>
        <item x="348"/>
        <item x="237"/>
        <item x="258"/>
        <item x="103"/>
        <item x="15"/>
        <item x="94"/>
        <item x="176"/>
        <item x="423"/>
        <item x="231"/>
        <item x="277"/>
        <item x="328"/>
        <item x="100"/>
        <item x="240"/>
        <item x="196"/>
        <item x="339"/>
        <item x="75"/>
        <item x="491"/>
        <item x="125"/>
        <item x="376"/>
        <item x="23"/>
        <item x="421"/>
        <item x="232"/>
        <item x="359"/>
        <item x="225"/>
        <item x="200"/>
        <item x="264"/>
        <item x="379"/>
        <item x="418"/>
        <item x="476"/>
        <item x="500"/>
        <item x="391"/>
        <item x="494"/>
        <item x="378"/>
        <item x="61"/>
        <item x="365"/>
        <item x="223"/>
        <item x="320"/>
        <item x="345"/>
        <item x="107"/>
        <item x="30"/>
        <item x="335"/>
        <item x="193"/>
        <item x="73"/>
        <item x="159"/>
        <item x="435"/>
        <item x="177"/>
        <item x="356"/>
        <item x="522"/>
        <item x="272"/>
        <item x="194"/>
        <item x="329"/>
        <item x="113"/>
        <item x="470"/>
        <item x="501"/>
        <item x="307"/>
        <item x="70"/>
        <item x="155"/>
        <item x="217"/>
        <item x="178"/>
        <item x="469"/>
        <item x="6"/>
        <item x="135"/>
        <item x="304"/>
        <item x="308"/>
        <item x="106"/>
        <item x="495"/>
        <item x="344"/>
        <item x="428"/>
        <item x="269"/>
        <item x="334"/>
        <item x="140"/>
        <item x="519"/>
        <item x="18"/>
        <item x="4"/>
        <item x="370"/>
        <item x="158"/>
        <item x="409"/>
        <item x="222"/>
        <item x="77"/>
        <item x="162"/>
        <item x="332"/>
        <item x="408"/>
        <item x="301"/>
        <item x="51"/>
        <item x="341"/>
        <item x="90"/>
        <item x="59"/>
        <item x="446"/>
        <item x="524"/>
        <item x="322"/>
        <item x="459"/>
        <item x="183"/>
        <item x="134"/>
        <item x="392"/>
        <item x="33"/>
        <item x="247"/>
        <item x="317"/>
        <item x="305"/>
        <item x="388"/>
        <item x="429"/>
        <item x="208"/>
        <item x="185"/>
        <item x="349"/>
        <item x="42"/>
        <item x="253"/>
        <item x="271"/>
        <item x="273"/>
        <item x="270"/>
        <item x="343"/>
        <item x="81"/>
        <item x="25"/>
        <item x="214"/>
        <item x="331"/>
        <item x="399"/>
        <item x="362"/>
        <item x="263"/>
        <item x="234"/>
        <item x="340"/>
        <item x="47"/>
        <item x="21"/>
        <item x="480"/>
        <item x="141"/>
        <item x="514"/>
        <item x="506"/>
        <item x="493"/>
        <item x="504"/>
        <item x="12"/>
        <item x="8"/>
        <item x="197"/>
        <item x="454"/>
        <item x="204"/>
        <item x="274"/>
        <item x="275"/>
        <item x="147"/>
        <item x="48"/>
        <item x="257"/>
        <item x="62"/>
        <item x="478"/>
        <item x="82"/>
        <item x="91"/>
        <item x="287"/>
        <item x="186"/>
        <item x="53"/>
        <item x="531"/>
        <item x="534"/>
        <item x="209"/>
        <item x="173"/>
        <item x="191"/>
        <item x="298"/>
        <item x="467"/>
        <item x="88"/>
        <item x="256"/>
        <item x="286"/>
        <item x="192"/>
        <item x="198"/>
        <item x="86"/>
        <item x="166"/>
        <item x="2"/>
        <item x="255"/>
        <item x="131"/>
        <item x="350"/>
        <item x="58"/>
        <item x="410"/>
        <item x="450"/>
        <item x="57"/>
        <item x="465"/>
        <item x="182"/>
        <item x="530"/>
        <item x="20"/>
        <item x="206"/>
        <item x="114"/>
        <item x="380"/>
        <item x="439"/>
        <item x="80"/>
        <item x="45"/>
        <item x="218"/>
        <item x="89"/>
        <item x="338"/>
        <item x="46"/>
        <item x="413"/>
        <item x="311"/>
        <item x="276"/>
        <item x="71"/>
        <item x="374"/>
        <item x="210"/>
        <item x="479"/>
        <item x="168"/>
        <item x="440"/>
        <item x="294"/>
        <item x="63"/>
        <item x="235"/>
        <item x="386"/>
        <item x="43"/>
        <item x="132"/>
        <item x="202"/>
        <item x="161"/>
        <item x="394"/>
        <item x="31"/>
        <item x="437"/>
        <item x="393"/>
        <item x="169"/>
        <item x="354"/>
        <item x="34"/>
        <item x="17"/>
        <item x="337"/>
        <item x="139"/>
        <item x="477"/>
        <item x="512"/>
        <item x="358"/>
        <item x="460"/>
        <item x="434"/>
        <item x="295"/>
        <item x="282"/>
        <item x="109"/>
        <item x="415"/>
        <item x="238"/>
        <item x="352"/>
        <item x="521"/>
        <item x="342"/>
        <item x="427"/>
        <item x="496"/>
        <item x="101"/>
        <item x="26"/>
        <item x="492"/>
        <item x="518"/>
        <item x="195"/>
        <item x="499"/>
        <item x="245"/>
        <item x="300"/>
        <item x="145"/>
        <item x="316"/>
        <item x="481"/>
        <item x="397"/>
        <item x="16"/>
        <item x="111"/>
        <item x="160"/>
        <item x="381"/>
        <item x="400"/>
        <item x="87"/>
        <item x="119"/>
        <item x="503"/>
        <item x="533"/>
        <item x="5"/>
        <item x="112"/>
        <item x="412"/>
        <item x="472"/>
        <item x="151"/>
        <item x="436"/>
        <item x="29"/>
        <item x="56"/>
        <item x="535"/>
        <item x="22"/>
        <item x="351"/>
        <item x="19"/>
        <item x="93"/>
        <item x="207"/>
        <item x="60"/>
        <item x="92"/>
        <item x="41"/>
        <item x="133"/>
        <item x="52"/>
        <item x="373"/>
        <item x="474"/>
        <item x="105"/>
        <item x="150"/>
        <item x="96"/>
        <item x="49"/>
        <item x="486"/>
        <item x="118"/>
        <item x="137"/>
        <item x="449"/>
        <item x="220"/>
        <item x="466"/>
        <item x="517"/>
        <item x="122"/>
        <item x="44"/>
        <item x="188"/>
        <item x="291"/>
        <item x="144"/>
        <item x="431"/>
        <item x="138"/>
        <item x="357"/>
        <item x="302"/>
        <item x="154"/>
        <item x="387"/>
        <item x="509"/>
        <item x="171"/>
        <item x="266"/>
        <item x="310"/>
        <item x="65"/>
        <item x="249"/>
        <item x="97"/>
        <item x="98"/>
        <item x="216"/>
        <item x="110"/>
        <item x="487"/>
        <item x="184"/>
        <item x="346"/>
        <item x="430"/>
        <item x="243"/>
        <item x="312"/>
        <item x="284"/>
        <item x="189"/>
        <item x="443"/>
        <item x="462"/>
        <item x="372"/>
        <item x="385"/>
        <item x="406"/>
        <item x="215"/>
        <item x="128"/>
        <item x="152"/>
        <item x="458"/>
        <item x="136"/>
        <item x="405"/>
        <item x="511"/>
        <item x="296"/>
        <item x="401"/>
        <item x="382"/>
        <item x="246"/>
        <item x="261"/>
        <item x="463"/>
        <item x="433"/>
        <item x="360"/>
        <item x="130"/>
        <item x="417"/>
        <item x="126"/>
        <item x="367"/>
        <item x="402"/>
        <item x="85"/>
        <item x="324"/>
        <item x="9"/>
        <item x="319"/>
        <item x="262"/>
        <item x="50"/>
        <item x="37"/>
        <item x="205"/>
        <item x="69"/>
        <item x="447"/>
        <item x="309"/>
        <item x="395"/>
        <item x="297"/>
        <item x="528"/>
        <item x="407"/>
        <item x="484"/>
        <item x="498"/>
        <item x="95"/>
        <item x="525"/>
        <item x="242"/>
        <item x="40"/>
        <item x="0"/>
        <item x="181"/>
        <item x="432"/>
        <item x="513"/>
        <item x="425"/>
        <item x="227"/>
        <item x="115"/>
        <item x="203"/>
        <item x="464"/>
        <item x="190"/>
        <item x="280"/>
        <item x="281"/>
        <item x="153"/>
        <item x="490"/>
        <item x="156"/>
        <item x="483"/>
        <item x="121"/>
        <item x="279"/>
        <item x="55"/>
        <item x="306"/>
        <item x="170"/>
        <item x="288"/>
        <item x="420"/>
        <item x="79"/>
        <item x="505"/>
        <item x="411"/>
        <item x="254"/>
        <item x="471"/>
        <item x="83"/>
        <item x="68"/>
        <item x="120"/>
        <item x="404"/>
        <item x="442"/>
        <item x="108"/>
        <item x="11"/>
        <item x="64"/>
        <item x="142"/>
        <item x="526"/>
        <item x="438"/>
        <item x="179"/>
        <item x="290"/>
        <item x="314"/>
        <item x="149"/>
        <item x="318"/>
        <item x="485"/>
        <item x="303"/>
        <item x="468"/>
        <item x="10"/>
        <item x="355"/>
        <item x="461"/>
        <item x="7"/>
        <item x="268"/>
        <item x="146"/>
        <item x="67"/>
        <item x="187"/>
        <item x="426"/>
        <item x="35"/>
        <item x="315"/>
        <item x="180"/>
        <item x="13"/>
        <item x="224"/>
        <item x="416"/>
        <item x="250"/>
        <item x="116"/>
        <item x="353"/>
        <item x="364"/>
        <item x="527"/>
        <item x="422"/>
        <item x="267"/>
        <item x="143"/>
        <item x="1"/>
        <item x="414"/>
        <item x="157"/>
        <item x="24"/>
        <item x="361"/>
        <item x="520"/>
        <item x="54"/>
        <item x="330"/>
        <item x="475"/>
        <item x="278"/>
        <item x="448"/>
        <item x="396"/>
        <item x="244"/>
        <item x="241"/>
        <item x="148"/>
        <item x="248"/>
        <item x="383"/>
        <item x="502"/>
        <item x="347"/>
        <item x="313"/>
        <item x="497"/>
        <item t="default"/>
      </items>
    </pivotField>
    <pivotField showAll="0"/>
    <pivotField numFmtId="2" showAll="0"/>
    <pivotField numFmtId="2" showAll="0"/>
    <pivotField showAll="0"/>
    <pivotField showAll="0"/>
    <pivotField showAll="0"/>
    <pivotField showAll="0"/>
  </pivotFields>
  <rowFields count="1">
    <field x="15"/>
  </rowFields>
  <rowItems count="18">
    <i>
      <x v="3"/>
    </i>
    <i>
      <x v="6"/>
    </i>
    <i>
      <x v="13"/>
    </i>
    <i>
      <x/>
    </i>
    <i>
      <x v="5"/>
    </i>
    <i>
      <x v="12"/>
    </i>
    <i>
      <x v="14"/>
    </i>
    <i>
      <x v="7"/>
    </i>
    <i>
      <x v="2"/>
    </i>
    <i>
      <x v="10"/>
    </i>
    <i>
      <x v="8"/>
    </i>
    <i>
      <x v="1"/>
    </i>
    <i>
      <x v="9"/>
    </i>
    <i>
      <x v="15"/>
    </i>
    <i>
      <x v="11"/>
    </i>
    <i>
      <x v="4"/>
    </i>
    <i>
      <x v="16"/>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3382A9-887D-42C4-8522-98A0EF62304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C9" firstHeaderRow="0" firstDataRow="1" firstDataCol="1"/>
  <pivotFields count="28">
    <pivotField showAll="0"/>
    <pivotField showAll="0"/>
    <pivotField numFmtId="14" showAll="0">
      <items count="221">
        <item x="215"/>
        <item x="181"/>
        <item x="72"/>
        <item x="90"/>
        <item x="138"/>
        <item x="164"/>
        <item x="218"/>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178"/>
        <item x="41"/>
        <item x="143"/>
        <item x="167"/>
        <item x="173"/>
        <item x="183"/>
        <item x="131"/>
        <item x="134"/>
        <item x="195"/>
        <item x="74"/>
        <item x="206"/>
        <item x="211"/>
        <item x="198"/>
        <item x="30"/>
        <item x="112"/>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213"/>
        <item x="210"/>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dataField="1" numFmtId="2" showAll="0"/>
    <pivotField showAll="0"/>
    <pivotField numFmtId="2" showAll="0"/>
    <pivotField numFmtId="2" showAll="0"/>
    <pivotField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48" name="Order Date">
      <autoFilter ref="A1">
        <filterColumn colId="0">
          <customFilters and="1">
            <customFilter operator="greaterThanOrEqual" val="41640"/>
            <customFilter operator="lessThanOrEqual" val="425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29AAD9-448B-47EC-8F01-16C3E40548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X4:AA9" firstHeaderRow="0" firstDataRow="1" firstDataCol="1"/>
  <pivotFields count="28">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items count="484">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457"/>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481"/>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456"/>
        <item x="292"/>
        <item x="349"/>
        <item x="416"/>
        <item x="473"/>
        <item x="460"/>
        <item x="10"/>
        <item x="201"/>
        <item x="240"/>
        <item x="19"/>
        <item x="424"/>
        <item x="440"/>
        <item x="283"/>
        <item x="48"/>
        <item x="436"/>
        <item x="379"/>
        <item x="117"/>
        <item x="356"/>
        <item x="136"/>
        <item x="377"/>
        <item x="346"/>
        <item x="185"/>
        <item x="421"/>
        <item x="101"/>
        <item x="480"/>
        <item x="442"/>
        <item x="287"/>
        <item x="404"/>
        <item x="382"/>
        <item x="319"/>
        <item x="291"/>
        <item x="8"/>
        <item x="33"/>
        <item x="417"/>
        <item x="73"/>
        <item x="225"/>
        <item x="192"/>
        <item x="41"/>
        <item x="125"/>
        <item x="269"/>
        <item x="76"/>
        <item x="285"/>
        <item x="5"/>
        <item x="4"/>
        <item x="465"/>
        <item x="393"/>
        <item x="86"/>
        <item x="254"/>
        <item x="325"/>
        <item x="278"/>
        <item x="35"/>
        <item x="476"/>
        <item x="381"/>
        <item x="238"/>
        <item x="191"/>
        <item x="474"/>
        <item x="206"/>
        <item x="452"/>
        <item x="282"/>
        <item x="399"/>
        <item x="392"/>
        <item x="95"/>
        <item x="435"/>
        <item x="13"/>
        <item x="451"/>
        <item x="231"/>
        <item x="414"/>
        <item x="426"/>
        <item x="17"/>
        <item x="330"/>
        <item x="298"/>
        <item x="134"/>
        <item x="92"/>
        <item x="275"/>
        <item x="280"/>
        <item x="115"/>
        <item x="316"/>
        <item x="214"/>
        <item x="301"/>
        <item x="142"/>
        <item x="383"/>
        <item x="444"/>
        <item x="338"/>
        <item x="261"/>
        <item x="380"/>
        <item x="133"/>
        <item x="34"/>
        <item x="397"/>
        <item x="464"/>
        <item x="120"/>
        <item x="268"/>
        <item x="23"/>
        <item x="390"/>
        <item x="323"/>
        <item x="38"/>
        <item x="406"/>
        <item x="229"/>
        <item x="51"/>
        <item x="212"/>
        <item x="213"/>
        <item x="124"/>
        <item x="445"/>
        <item x="64"/>
        <item x="164"/>
        <item x="118"/>
        <item x="197"/>
        <item x="45"/>
        <item x="458"/>
        <item x="306"/>
        <item x="70"/>
        <item x="336"/>
        <item x="14"/>
        <item x="54"/>
        <item x="299"/>
        <item x="284"/>
        <item x="407"/>
        <item x="309"/>
        <item x="1"/>
        <item x="378"/>
        <item x="342"/>
        <item x="114"/>
        <item x="228"/>
        <item x="267"/>
        <item x="28"/>
        <item x="441"/>
        <item x="175"/>
        <item x="65"/>
        <item x="108"/>
        <item x="180"/>
        <item x="270"/>
        <item x="303"/>
        <item x="91"/>
        <item x="132"/>
        <item x="431"/>
        <item x="463"/>
        <item x="46"/>
        <item x="25"/>
        <item x="172"/>
        <item x="427"/>
        <item x="386"/>
        <item x="144"/>
        <item x="161"/>
        <item x="81"/>
        <item x="165"/>
        <item x="160"/>
        <item x="375"/>
        <item x="224"/>
        <item x="119"/>
        <item x="11"/>
        <item x="152"/>
        <item x="385"/>
        <item x="344"/>
        <item x="156"/>
        <item x="47"/>
        <item x="477"/>
        <item x="247"/>
        <item x="428"/>
        <item x="409"/>
        <item x="100"/>
        <item x="434"/>
        <item x="343"/>
        <item x="234"/>
        <item x="265"/>
        <item x="295"/>
        <item x="106"/>
        <item x="84"/>
        <item x="218"/>
        <item x="50"/>
        <item x="32"/>
        <item x="63"/>
        <item x="221"/>
        <item x="107"/>
        <item x="466"/>
        <item x="198"/>
        <item x="405"/>
        <item x="103"/>
        <item x="259"/>
        <item x="333"/>
        <item x="241"/>
        <item x="7"/>
        <item x="462"/>
        <item x="331"/>
        <item x="293"/>
        <item x="66"/>
        <item x="148"/>
        <item x="311"/>
        <item x="455"/>
        <item x="21"/>
        <item x="6"/>
        <item x="332"/>
        <item x="454"/>
        <item x="251"/>
        <item x="324"/>
        <item x="18"/>
        <item x="402"/>
        <item x="135"/>
        <item x="449"/>
        <item x="398"/>
        <item x="279"/>
        <item x="105"/>
        <item x="174"/>
        <item x="193"/>
        <item x="348"/>
        <item x="368"/>
        <item x="83"/>
        <item x="56"/>
        <item x="335"/>
        <item x="395"/>
        <item x="294"/>
        <item x="310"/>
        <item x="204"/>
        <item x="110"/>
        <item x="200"/>
        <item x="367"/>
        <item x="430"/>
        <item x="168"/>
        <item x="195"/>
        <item x="470"/>
        <item x="40"/>
        <item x="450"/>
        <item x="178"/>
        <item x="328"/>
        <item x="140"/>
        <item x="39"/>
        <item x="58"/>
        <item x="412"/>
        <item x="29"/>
        <item x="252"/>
        <item x="425"/>
        <item x="59"/>
        <item x="262"/>
        <item x="413"/>
        <item x="472"/>
        <item x="79"/>
        <item x="186"/>
        <item x="249"/>
        <item x="223"/>
        <item x="242"/>
        <item x="422"/>
        <item x="245"/>
        <item x="111"/>
        <item x="248"/>
        <item x="26"/>
        <item x="211"/>
        <item x="448"/>
        <item x="256"/>
        <item x="300"/>
        <item x="235"/>
        <item x="158"/>
        <item x="418"/>
        <item x="244"/>
        <item x="468"/>
        <item x="236"/>
        <item x="82"/>
        <item x="72"/>
        <item x="226"/>
        <item x="420"/>
        <item x="453"/>
        <item x="478"/>
        <item x="177"/>
        <item x="97"/>
        <item x="131"/>
        <item x="170"/>
        <item x="159"/>
        <item x="209"/>
        <item x="138"/>
        <item x="317"/>
        <item x="419"/>
        <item x="2"/>
        <item x="365"/>
        <item x="90"/>
        <item x="139"/>
        <item x="361"/>
        <item x="75"/>
        <item x="475"/>
        <item x="67"/>
        <item x="341"/>
        <item x="357"/>
        <item x="202"/>
        <item x="437"/>
        <item x="80"/>
        <item x="145"/>
        <item x="188"/>
        <item x="339"/>
        <item x="157"/>
        <item x="104"/>
        <item x="433"/>
        <item x="312"/>
        <item x="340"/>
        <item x="208"/>
        <item x="153"/>
        <item x="360"/>
        <item x="327"/>
        <item x="222"/>
        <item x="128"/>
        <item x="471"/>
        <item x="305"/>
        <item x="15"/>
        <item x="446"/>
        <item x="439"/>
        <item x="16"/>
        <item x="355"/>
        <item x="207"/>
        <item x="69"/>
        <item x="296"/>
        <item x="469"/>
        <item x="217"/>
        <item x="171"/>
        <item x="147"/>
        <item x="71"/>
        <item x="194"/>
        <item x="459"/>
        <item x="273"/>
        <item x="123"/>
        <item x="94"/>
        <item x="308"/>
        <item x="351"/>
        <item x="87"/>
        <item x="113"/>
        <item x="232"/>
        <item x="99"/>
        <item x="43"/>
        <item x="60"/>
        <item x="271"/>
        <item x="443"/>
        <item x="376"/>
        <item x="205"/>
        <item x="467"/>
        <item x="447"/>
        <item x="374"/>
        <item x="326"/>
        <item x="24"/>
        <item x="350"/>
        <item x="304"/>
        <item x="20"/>
        <item x="154"/>
        <item x="44"/>
        <item x="362"/>
        <item x="187"/>
        <item x="230"/>
        <item x="364"/>
        <item x="384"/>
        <item x="479"/>
        <item x="130"/>
        <item x="314"/>
        <item x="146"/>
        <item x="389"/>
        <item x="482"/>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x="461"/>
        <item t="default"/>
      </items>
    </pivotField>
    <pivotField dataField="1" numFmtId="2" showAll="0"/>
    <pivotField numFmtId="2" showAll="0"/>
    <pivotField numFmtId="2" showAll="0"/>
    <pivotField dataField="1" numFmtId="2" showAll="0"/>
    <pivotField showAll="0"/>
    <pivotField numFmtId="2" showAll="0"/>
    <pivotField numFmtId="2" showAll="0"/>
    <pivotField showAll="0"/>
    <pivotField showAll="0"/>
    <pivotField showAll="0"/>
    <pivotField showAll="0"/>
  </pivotFields>
  <rowFields count="1">
    <field x="12"/>
  </rowFields>
  <rowItems count="5">
    <i>
      <x/>
    </i>
    <i>
      <x v="1"/>
    </i>
    <i>
      <x v="2"/>
    </i>
    <i>
      <x v="3"/>
    </i>
    <i t="grand">
      <x/>
    </i>
  </rowItems>
  <colFields count="1">
    <field x="-2"/>
  </colFields>
  <colItems count="3">
    <i>
      <x/>
    </i>
    <i i="1">
      <x v="1"/>
    </i>
    <i i="2">
      <x v="2"/>
    </i>
  </colItems>
  <dataFields count="3">
    <dataField name="Sum of Sales" fld="17" baseField="12" baseItem="2"/>
    <dataField name="Count of Order ID" fld="1" subtotal="count"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21934F5-2C11-45D8-AD43-AE46BBCB0134}" sourceName="Segment">
  <pivotTables>
    <pivotTable tabId="3" name="PivotTable1"/>
  </pivotTables>
  <data>
    <tabular pivotCacheId="408582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18711B-741F-4077-9E17-A894723D128D}" sourceName="Category">
  <pivotTables>
    <pivotTable tabId="3" name="PivotTable1"/>
  </pivotTables>
  <data>
    <tabular pivotCacheId="408582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1E831A-8580-4AC8-9478-68E67E2E8898}" sourceName="Region">
  <pivotTables>
    <pivotTable tabId="3" name="PivotTable1"/>
  </pivotTables>
  <data>
    <tabular pivotCacheId="408582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AED1F2C-334A-4D26-84E9-891D5886AA6A}" cache="Slicer_Segment" caption="Segment" rowHeight="234950"/>
  <slicer name="Category" xr10:uid="{E92F7147-53E6-4493-BBBF-81F8A4619976}" cache="Slicer_Category" caption="Category" rowHeight="234950"/>
  <slicer name="Region" xr10:uid="{4A040D77-CE65-431A-B837-512121F72DD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58C0C21-8DB0-4D13-B0E1-897660A8CF79}" cache="Slicer_Segment" caption="Segment" rowHeight="234950"/>
  <slicer name="Category 1" xr10:uid="{FB163B32-9C65-4282-93BF-99E8DA8F48AF}" cache="Slicer_Category" caption="Category" rowHeight="234950"/>
  <slicer name="Region 1" xr10:uid="{760495CB-B7EA-4AE7-AA5A-EB6774EEE85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B9F36FD-1ADD-4EDD-A558-91C7C863392F}" sourceName="Order Date">
  <pivotTables>
    <pivotTable tabId="3" name="PivotTable1"/>
  </pivotTables>
  <state minimalRefreshVersion="6" lastRefreshVersion="6" pivotCacheId="40858227" filterType="dateBetween">
    <selection startDate="2014-01-01T00:00:00" endDate="2016-05-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B8607C-BE3C-420E-B1B9-2522F5940745}" cache="NativeTimeline_Order_Date" caption="Order Date" level="2" selectionLevel="2" scrollPosition="2014-07-2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2D575F6-BF46-4E89-B1E6-6F23FD952955}" cache="NativeTimeline_Order_Date" caption="Order Date" level="2" selectionLevel="2" scrollPosition="2014-04-04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8.xml"/><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3A31E-D26F-4D5C-87C7-DCAF3243AD58}">
  <dimension ref="A1:U551"/>
  <sheetViews>
    <sheetView topLeftCell="F13" zoomScaleNormal="100" workbookViewId="0">
      <selection activeCell="Q541" sqref="Q541"/>
    </sheetView>
  </sheetViews>
  <sheetFormatPr defaultRowHeight="14.4" x14ac:dyDescent="0.3"/>
  <cols>
    <col min="1" max="1" width="6.88671875" bestFit="1" customWidth="1"/>
    <col min="2" max="2" width="14.6640625" bestFit="1" customWidth="1"/>
    <col min="3" max="3" width="11.44140625" bestFit="1" customWidth="1"/>
    <col min="4" max="4" width="11.21875" bestFit="1" customWidth="1"/>
    <col min="5" max="5" width="12.77734375" bestFit="1" customWidth="1"/>
    <col min="6" max="6" width="11.109375" bestFit="1" customWidth="1"/>
    <col min="7" max="7" width="19.77734375" bestFit="1" customWidth="1"/>
    <col min="8" max="8" width="11.33203125" bestFit="1" customWidth="1"/>
    <col min="9" max="9" width="11.88671875" bestFit="1" customWidth="1"/>
    <col min="10" max="10" width="15.5546875" bestFit="1" customWidth="1"/>
    <col min="11" max="11" width="13.10937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90.2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3628-0705-42CB-9E5A-60C28630AEBA}">
  <sheetPr>
    <pageSetUpPr fitToPage="1"/>
  </sheetPr>
  <dimension ref="A1:AB557"/>
  <sheetViews>
    <sheetView zoomScale="43" zoomScaleNormal="94" workbookViewId="0">
      <selection activeCell="AA20" sqref="AA20"/>
    </sheetView>
  </sheetViews>
  <sheetFormatPr defaultRowHeight="14.4" x14ac:dyDescent="0.3"/>
  <cols>
    <col min="1" max="1" width="9.88671875" bestFit="1" customWidth="1"/>
    <col min="2" max="2" width="14.77734375" bestFit="1" customWidth="1"/>
    <col min="3" max="3" width="13.21875" bestFit="1" customWidth="1"/>
    <col min="4" max="4" width="16.6640625" bestFit="1" customWidth="1"/>
    <col min="5" max="5" width="12.77734375" bestFit="1" customWidth="1"/>
    <col min="6" max="6" width="14.109375" bestFit="1" customWidth="1"/>
    <col min="7" max="7" width="20.44140625" bestFit="1" customWidth="1"/>
    <col min="8" max="8" width="11.33203125" bestFit="1" customWidth="1"/>
    <col min="9" max="9" width="12.109375" bestFit="1" customWidth="1"/>
    <col min="10" max="10" width="16" bestFit="1" customWidth="1"/>
    <col min="11" max="11" width="13.109375" bestFit="1" customWidth="1"/>
    <col min="12" max="12" width="13.44140625" bestFit="1" customWidth="1"/>
    <col min="13" max="13" width="9.6640625" bestFit="1" customWidth="1"/>
    <col min="14" max="14" width="16.44140625" bestFit="1" customWidth="1"/>
    <col min="15" max="15" width="13.109375" bestFit="1" customWidth="1"/>
    <col min="16" max="16" width="14.88671875" bestFit="1" customWidth="1"/>
    <col min="17" max="17" width="91.6640625" bestFit="1" customWidth="1"/>
    <col min="18" max="21" width="16.5546875" bestFit="1" customWidth="1"/>
    <col min="22" max="22" width="12.44140625" bestFit="1" customWidth="1"/>
    <col min="23" max="23" width="14.77734375" bestFit="1" customWidth="1"/>
    <col min="24" max="25" width="14.77734375" customWidth="1"/>
    <col min="26" max="26" width="12" bestFit="1" customWidth="1"/>
    <col min="27" max="27" width="11.6640625" bestFit="1" customWidth="1"/>
    <col min="28" max="28" width="17.4414062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c r="S1" s="2" t="s">
        <v>18</v>
      </c>
      <c r="T1" s="2" t="s">
        <v>19</v>
      </c>
      <c r="U1" s="2" t="s">
        <v>20</v>
      </c>
      <c r="V1" t="s">
        <v>1873</v>
      </c>
      <c r="W1" s="2" t="s">
        <v>1875</v>
      </c>
      <c r="X1" s="2" t="s">
        <v>1876</v>
      </c>
      <c r="Y1" s="2" t="s">
        <v>1877</v>
      </c>
      <c r="Z1" s="2" t="s">
        <v>1878</v>
      </c>
      <c r="AA1" t="s">
        <v>1879</v>
      </c>
      <c r="AB1" s="2" t="s">
        <v>1880</v>
      </c>
    </row>
    <row r="2" spans="1:28"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s="2">
        <v>2</v>
      </c>
      <c r="T2" s="2">
        <v>0</v>
      </c>
      <c r="U2" s="2">
        <v>41.913600000000002</v>
      </c>
      <c r="V2" t="str">
        <f>IF(D2&gt;=C2, "Valid", "Error")</f>
        <v>Valid</v>
      </c>
      <c r="W2" s="2">
        <v>267.07</v>
      </c>
      <c r="X2" s="2">
        <v>656.2656164</v>
      </c>
      <c r="Y2" s="2" t="str">
        <f>IF(R2 &gt;(W2 + 3*X2), "High Outlier",  "Normal")</f>
        <v>Normal</v>
      </c>
      <c r="Z2">
        <f>_xlfn.DAYS(D2,C2)</f>
        <v>3</v>
      </c>
      <c r="AA2">
        <f>U2/R2</f>
        <v>0.16000000000000003</v>
      </c>
      <c r="AB2">
        <f>R2*(1-T2)</f>
        <v>261.95999999999998</v>
      </c>
    </row>
    <row r="3" spans="1:28"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s="2">
        <v>3</v>
      </c>
      <c r="T3" s="2">
        <v>0</v>
      </c>
      <c r="U3" s="2">
        <v>219.58199999999999</v>
      </c>
      <c r="V3" t="str">
        <f t="shared" ref="V3:V66" si="0">IF(D3&gt;=C3, "Valid", "Error")</f>
        <v>Valid</v>
      </c>
      <c r="W3" s="2">
        <v>267.07</v>
      </c>
      <c r="X3" s="2">
        <v>656.2656164</v>
      </c>
      <c r="Y3" s="2" t="str">
        <f t="shared" ref="Y3:Y66" si="1">IF(R3 &gt;(W3 + 3*X3), "High Outlier",  "Normal")</f>
        <v>Normal</v>
      </c>
      <c r="Z3">
        <f t="shared" ref="Z3:Z66" si="2">_xlfn.DAYS(D3,C3)</f>
        <v>3</v>
      </c>
      <c r="AA3">
        <f t="shared" ref="AA3:AA66" si="3">U3/R3</f>
        <v>0.3</v>
      </c>
      <c r="AB3">
        <f t="shared" ref="AB3:AB66" si="4">R3*(1-T3)</f>
        <v>731.94</v>
      </c>
    </row>
    <row r="4" spans="1:28"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s="2">
        <v>2</v>
      </c>
      <c r="T4" s="2">
        <v>0</v>
      </c>
      <c r="U4" s="2">
        <v>6.8714000000000004</v>
      </c>
      <c r="V4" t="str">
        <f t="shared" si="0"/>
        <v>Valid</v>
      </c>
      <c r="W4" s="2">
        <v>267.07</v>
      </c>
      <c r="X4" s="2">
        <v>656.2656164</v>
      </c>
      <c r="Y4" s="2" t="str">
        <f t="shared" si="1"/>
        <v>Normal</v>
      </c>
      <c r="Z4">
        <f t="shared" si="2"/>
        <v>4</v>
      </c>
      <c r="AA4">
        <f t="shared" si="3"/>
        <v>0.47000000000000003</v>
      </c>
      <c r="AB4">
        <f t="shared" si="4"/>
        <v>14.62</v>
      </c>
    </row>
    <row r="5" spans="1:28"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s="2">
        <v>5</v>
      </c>
      <c r="T5" s="2">
        <v>0.45</v>
      </c>
      <c r="U5" s="2">
        <v>-383.03100000000001</v>
      </c>
      <c r="V5" t="str">
        <f t="shared" si="0"/>
        <v>Valid</v>
      </c>
      <c r="W5" s="2">
        <v>267.07</v>
      </c>
      <c r="X5" s="2">
        <v>656.2656164</v>
      </c>
      <c r="Y5" s="2" t="str">
        <f t="shared" si="1"/>
        <v>Normal</v>
      </c>
      <c r="Z5">
        <f t="shared" si="2"/>
        <v>7</v>
      </c>
      <c r="AA5">
        <f t="shared" si="3"/>
        <v>-0.4</v>
      </c>
      <c r="AB5">
        <f t="shared" si="4"/>
        <v>526.66762500000004</v>
      </c>
    </row>
    <row r="6" spans="1:28"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s="2">
        <v>2</v>
      </c>
      <c r="T6" s="2">
        <v>0.2</v>
      </c>
      <c r="U6" s="2">
        <v>2.5164</v>
      </c>
      <c r="V6" t="str">
        <f t="shared" si="0"/>
        <v>Valid</v>
      </c>
      <c r="W6" s="2">
        <v>267.07</v>
      </c>
      <c r="X6" s="2">
        <v>656.2656164</v>
      </c>
      <c r="Y6" s="2" t="str">
        <f t="shared" si="1"/>
        <v>Normal</v>
      </c>
      <c r="Z6">
        <f t="shared" si="2"/>
        <v>7</v>
      </c>
      <c r="AA6">
        <f t="shared" si="3"/>
        <v>0.1125</v>
      </c>
      <c r="AB6">
        <f t="shared" si="4"/>
        <v>17.894400000000001</v>
      </c>
    </row>
    <row r="7" spans="1:28"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s="2">
        <v>7</v>
      </c>
      <c r="T7" s="2">
        <v>0</v>
      </c>
      <c r="U7" s="2">
        <v>14.1694</v>
      </c>
      <c r="V7" t="str">
        <f t="shared" si="0"/>
        <v>Valid</v>
      </c>
      <c r="W7" s="2">
        <v>267.07</v>
      </c>
      <c r="X7" s="2">
        <v>656.2656164</v>
      </c>
      <c r="Y7" s="2" t="str">
        <f t="shared" si="1"/>
        <v>Normal</v>
      </c>
      <c r="Z7">
        <f t="shared" si="2"/>
        <v>5</v>
      </c>
      <c r="AA7">
        <f t="shared" si="3"/>
        <v>0.28999999999999998</v>
      </c>
      <c r="AB7">
        <f t="shared" si="4"/>
        <v>48.86</v>
      </c>
    </row>
    <row r="8" spans="1:28"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s="2">
        <v>4</v>
      </c>
      <c r="T8" s="2">
        <v>0</v>
      </c>
      <c r="U8" s="2">
        <v>1.9656</v>
      </c>
      <c r="V8" t="str">
        <f t="shared" si="0"/>
        <v>Valid</v>
      </c>
      <c r="W8" s="2">
        <v>267.07</v>
      </c>
      <c r="X8" s="2">
        <v>656.2656164</v>
      </c>
      <c r="Y8" s="2" t="str">
        <f t="shared" si="1"/>
        <v>Normal</v>
      </c>
      <c r="Z8">
        <f t="shared" si="2"/>
        <v>5</v>
      </c>
      <c r="AA8">
        <f t="shared" si="3"/>
        <v>0.27</v>
      </c>
      <c r="AB8">
        <f t="shared" si="4"/>
        <v>7.28</v>
      </c>
    </row>
    <row r="9" spans="1:28"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s="2">
        <v>6</v>
      </c>
      <c r="T9" s="2">
        <v>0.2</v>
      </c>
      <c r="U9" s="2">
        <v>90.715199999999996</v>
      </c>
      <c r="V9" t="str">
        <f t="shared" si="0"/>
        <v>Valid</v>
      </c>
      <c r="W9" s="2">
        <v>267.07</v>
      </c>
      <c r="X9" s="2">
        <v>656.2656164</v>
      </c>
      <c r="Y9" s="2" t="str">
        <f t="shared" si="1"/>
        <v>Normal</v>
      </c>
      <c r="Z9">
        <f t="shared" si="2"/>
        <v>5</v>
      </c>
      <c r="AA9">
        <f t="shared" si="3"/>
        <v>9.9999999999999992E-2</v>
      </c>
      <c r="AB9">
        <f t="shared" si="4"/>
        <v>725.72160000000008</v>
      </c>
    </row>
    <row r="10" spans="1:28"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s="2">
        <v>3</v>
      </c>
      <c r="T10" s="2">
        <v>0.2</v>
      </c>
      <c r="U10" s="2">
        <v>5.7824999999999998</v>
      </c>
      <c r="V10" t="str">
        <f t="shared" si="0"/>
        <v>Valid</v>
      </c>
      <c r="W10" s="2">
        <v>267.07</v>
      </c>
      <c r="X10" s="2">
        <v>656.2656164</v>
      </c>
      <c r="Y10" s="2" t="str">
        <f t="shared" si="1"/>
        <v>Normal</v>
      </c>
      <c r="Z10">
        <f t="shared" si="2"/>
        <v>5</v>
      </c>
      <c r="AA10">
        <f t="shared" si="3"/>
        <v>0.31249999999999994</v>
      </c>
      <c r="AB10">
        <f t="shared" si="4"/>
        <v>14.803200000000002</v>
      </c>
    </row>
    <row r="11" spans="1:28"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s="2">
        <v>5</v>
      </c>
      <c r="T11" s="2">
        <v>0</v>
      </c>
      <c r="U11" s="2">
        <v>34.47</v>
      </c>
      <c r="V11" t="str">
        <f t="shared" si="0"/>
        <v>Valid</v>
      </c>
      <c r="W11" s="2">
        <v>267.07</v>
      </c>
      <c r="X11" s="2">
        <v>656.2656164</v>
      </c>
      <c r="Y11" s="2" t="str">
        <f t="shared" si="1"/>
        <v>Normal</v>
      </c>
      <c r="Z11">
        <f t="shared" si="2"/>
        <v>5</v>
      </c>
      <c r="AA11">
        <f t="shared" si="3"/>
        <v>0.3</v>
      </c>
      <c r="AB11">
        <f t="shared" si="4"/>
        <v>114.9</v>
      </c>
    </row>
    <row r="12" spans="1:28"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s="2">
        <v>9</v>
      </c>
      <c r="T12" s="2">
        <v>0.2</v>
      </c>
      <c r="U12" s="2">
        <v>85.309200000000004</v>
      </c>
      <c r="V12" t="str">
        <f t="shared" si="0"/>
        <v>Valid</v>
      </c>
      <c r="W12" s="2">
        <v>267.07</v>
      </c>
      <c r="X12" s="2">
        <v>656.2656164</v>
      </c>
      <c r="Y12" s="2" t="str">
        <f t="shared" si="1"/>
        <v>Normal</v>
      </c>
      <c r="Z12">
        <f t="shared" si="2"/>
        <v>5</v>
      </c>
      <c r="AA12">
        <f t="shared" si="3"/>
        <v>0.05</v>
      </c>
      <c r="AB12">
        <f t="shared" si="4"/>
        <v>1364.9472000000001</v>
      </c>
    </row>
    <row r="13" spans="1:28"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s="2">
        <v>4</v>
      </c>
      <c r="T13" s="2">
        <v>0.2</v>
      </c>
      <c r="U13" s="2">
        <v>68.356800000000007</v>
      </c>
      <c r="V13" t="str">
        <f t="shared" si="0"/>
        <v>Valid</v>
      </c>
      <c r="W13" s="2">
        <v>267.07</v>
      </c>
      <c r="X13" s="2">
        <v>656.2656164</v>
      </c>
      <c r="Y13" s="2" t="str">
        <f t="shared" si="1"/>
        <v>Normal</v>
      </c>
      <c r="Z13">
        <f t="shared" si="2"/>
        <v>5</v>
      </c>
      <c r="AA13">
        <f t="shared" si="3"/>
        <v>7.5000000000000011E-2</v>
      </c>
      <c r="AB13">
        <f t="shared" si="4"/>
        <v>729.13920000000007</v>
      </c>
    </row>
    <row r="14" spans="1:28"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s="2">
        <v>3</v>
      </c>
      <c r="T14" s="2">
        <v>0.2</v>
      </c>
      <c r="U14" s="2">
        <v>5.4432</v>
      </c>
      <c r="V14" t="str">
        <f t="shared" si="0"/>
        <v>Valid</v>
      </c>
      <c r="W14" s="2">
        <v>267.07</v>
      </c>
      <c r="X14" s="2">
        <v>656.2656164</v>
      </c>
      <c r="Y14" s="2" t="str">
        <f t="shared" si="1"/>
        <v>Normal</v>
      </c>
      <c r="Z14">
        <f t="shared" si="2"/>
        <v>5</v>
      </c>
      <c r="AA14">
        <f t="shared" si="3"/>
        <v>0.35000000000000003</v>
      </c>
      <c r="AB14">
        <f t="shared" si="4"/>
        <v>12.441600000000001</v>
      </c>
    </row>
    <row r="15" spans="1:28"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s="2">
        <v>3</v>
      </c>
      <c r="T15" s="2">
        <v>0.2</v>
      </c>
      <c r="U15" s="2">
        <v>132.59219999999999</v>
      </c>
      <c r="V15" t="str">
        <f t="shared" si="0"/>
        <v>Valid</v>
      </c>
      <c r="W15" s="2">
        <v>267.07</v>
      </c>
      <c r="X15" s="2">
        <v>656.2656164</v>
      </c>
      <c r="Y15" s="2" t="str">
        <f t="shared" si="1"/>
        <v>Normal</v>
      </c>
      <c r="Z15">
        <f t="shared" si="2"/>
        <v>5</v>
      </c>
      <c r="AA15">
        <f t="shared" si="3"/>
        <v>0.32499999999999996</v>
      </c>
      <c r="AB15">
        <f t="shared" si="4"/>
        <v>326.38080000000002</v>
      </c>
    </row>
    <row r="16" spans="1:28"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s="2">
        <v>5</v>
      </c>
      <c r="T16" s="2">
        <v>0.8</v>
      </c>
      <c r="U16" s="2">
        <v>-123.858</v>
      </c>
      <c r="V16" t="str">
        <f t="shared" si="0"/>
        <v>Valid</v>
      </c>
      <c r="W16" s="2">
        <v>267.07</v>
      </c>
      <c r="X16" s="2">
        <v>656.2656164</v>
      </c>
      <c r="Y16" s="2" t="str">
        <f t="shared" si="1"/>
        <v>Normal</v>
      </c>
      <c r="Z16">
        <f t="shared" si="2"/>
        <v>4</v>
      </c>
      <c r="AA16">
        <f t="shared" si="3"/>
        <v>-1.8</v>
      </c>
      <c r="AB16">
        <f t="shared" si="4"/>
        <v>13.761999999999997</v>
      </c>
    </row>
    <row r="17" spans="1:28"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s="2">
        <v>3</v>
      </c>
      <c r="T17" s="2">
        <v>0.8</v>
      </c>
      <c r="U17" s="2">
        <v>-3.8159999999999998</v>
      </c>
      <c r="V17" t="str">
        <f t="shared" si="0"/>
        <v>Valid</v>
      </c>
      <c r="W17" s="2">
        <v>267.07</v>
      </c>
      <c r="X17" s="2">
        <v>656.2656164</v>
      </c>
      <c r="Y17" s="2" t="str">
        <f t="shared" si="1"/>
        <v>Normal</v>
      </c>
      <c r="Z17">
        <f t="shared" si="2"/>
        <v>4</v>
      </c>
      <c r="AA17">
        <f t="shared" si="3"/>
        <v>-1.5</v>
      </c>
      <c r="AB17">
        <f t="shared" si="4"/>
        <v>0.50879999999999992</v>
      </c>
    </row>
    <row r="18" spans="1:28"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s="2">
        <v>6</v>
      </c>
      <c r="T18" s="2">
        <v>0</v>
      </c>
      <c r="U18" s="2">
        <v>13.317600000000001</v>
      </c>
      <c r="V18" t="str">
        <f t="shared" si="0"/>
        <v>Valid</v>
      </c>
      <c r="W18" s="2">
        <v>267.07</v>
      </c>
      <c r="X18" s="2">
        <v>656.2656164</v>
      </c>
      <c r="Y18" s="2" t="str">
        <f t="shared" si="1"/>
        <v>Normal</v>
      </c>
      <c r="Z18">
        <f t="shared" si="2"/>
        <v>7</v>
      </c>
      <c r="AA18">
        <f t="shared" si="3"/>
        <v>0.02</v>
      </c>
      <c r="AB18">
        <f t="shared" si="4"/>
        <v>665.88</v>
      </c>
    </row>
    <row r="19" spans="1:28"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s="2">
        <v>2</v>
      </c>
      <c r="T19" s="2">
        <v>0</v>
      </c>
      <c r="U19" s="2">
        <v>9.99</v>
      </c>
      <c r="V19" t="str">
        <f t="shared" si="0"/>
        <v>Valid</v>
      </c>
      <c r="W19" s="2">
        <v>267.07</v>
      </c>
      <c r="X19" s="2">
        <v>656.2656164</v>
      </c>
      <c r="Y19" s="2" t="str">
        <f t="shared" si="1"/>
        <v>Normal</v>
      </c>
      <c r="Z19">
        <f t="shared" si="2"/>
        <v>2</v>
      </c>
      <c r="AA19">
        <f t="shared" si="3"/>
        <v>0.18</v>
      </c>
      <c r="AB19">
        <f t="shared" si="4"/>
        <v>55.5</v>
      </c>
    </row>
    <row r="20" spans="1:28"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s="2">
        <v>2</v>
      </c>
      <c r="T20" s="2">
        <v>0</v>
      </c>
      <c r="U20" s="2">
        <v>2.4824000000000002</v>
      </c>
      <c r="V20" t="str">
        <f t="shared" si="0"/>
        <v>Valid</v>
      </c>
      <c r="W20" s="2">
        <v>267.07</v>
      </c>
      <c r="X20" s="2">
        <v>656.2656164</v>
      </c>
      <c r="Y20" s="2" t="str">
        <f t="shared" si="1"/>
        <v>Normal</v>
      </c>
      <c r="Z20">
        <f t="shared" si="2"/>
        <v>5</v>
      </c>
      <c r="AA20">
        <f t="shared" si="3"/>
        <v>0.28999999999999998</v>
      </c>
      <c r="AB20">
        <f t="shared" si="4"/>
        <v>8.56</v>
      </c>
    </row>
    <row r="21" spans="1:28"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s="2">
        <v>3</v>
      </c>
      <c r="T21" s="2">
        <v>0.2</v>
      </c>
      <c r="U21" s="2">
        <v>16.010999999999999</v>
      </c>
      <c r="V21" t="str">
        <f t="shared" si="0"/>
        <v>Valid</v>
      </c>
      <c r="W21" s="2">
        <v>267.07</v>
      </c>
      <c r="X21" s="2">
        <v>656.2656164</v>
      </c>
      <c r="Y21" s="2" t="str">
        <f t="shared" si="1"/>
        <v>Normal</v>
      </c>
      <c r="Z21">
        <f t="shared" si="2"/>
        <v>5</v>
      </c>
      <c r="AA21">
        <f t="shared" si="3"/>
        <v>7.4999999999999997E-2</v>
      </c>
      <c r="AB21">
        <f t="shared" si="4"/>
        <v>170.78399999999999</v>
      </c>
    </row>
    <row r="22" spans="1:28"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s="2">
        <v>4</v>
      </c>
      <c r="T22" s="2">
        <v>0.2</v>
      </c>
      <c r="U22" s="2">
        <v>7.3840000000000003</v>
      </c>
      <c r="V22" t="str">
        <f t="shared" si="0"/>
        <v>Valid</v>
      </c>
      <c r="W22" s="2">
        <v>267.07</v>
      </c>
      <c r="X22" s="2">
        <v>656.2656164</v>
      </c>
      <c r="Y22" s="2" t="str">
        <f t="shared" si="1"/>
        <v>Normal</v>
      </c>
      <c r="Z22">
        <f t="shared" si="2"/>
        <v>5</v>
      </c>
      <c r="AA22">
        <f t="shared" si="3"/>
        <v>0.32500000000000001</v>
      </c>
      <c r="AB22">
        <f t="shared" si="4"/>
        <v>18.175999999999998</v>
      </c>
    </row>
    <row r="23" spans="1:28"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s="2">
        <v>7</v>
      </c>
      <c r="T23" s="2">
        <v>0</v>
      </c>
      <c r="U23" s="2">
        <v>5.0595999999999997</v>
      </c>
      <c r="V23" t="str">
        <f t="shared" si="0"/>
        <v>Valid</v>
      </c>
      <c r="W23" s="2">
        <v>267.07</v>
      </c>
      <c r="X23" s="2">
        <v>656.2656164</v>
      </c>
      <c r="Y23" s="2" t="str">
        <f t="shared" si="1"/>
        <v>Normal</v>
      </c>
      <c r="Z23">
        <f t="shared" si="2"/>
        <v>4</v>
      </c>
      <c r="AA23">
        <f t="shared" si="3"/>
        <v>0.25999999999999995</v>
      </c>
      <c r="AB23">
        <f t="shared" si="4"/>
        <v>19.46</v>
      </c>
    </row>
    <row r="24" spans="1:28"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s="2">
        <v>7</v>
      </c>
      <c r="T24" s="2">
        <v>0</v>
      </c>
      <c r="U24" s="2">
        <v>15.6884</v>
      </c>
      <c r="V24" t="str">
        <f t="shared" si="0"/>
        <v>Valid</v>
      </c>
      <c r="W24" s="2">
        <v>267.07</v>
      </c>
      <c r="X24" s="2">
        <v>656.2656164</v>
      </c>
      <c r="Y24" s="2" t="str">
        <f t="shared" si="1"/>
        <v>Normal</v>
      </c>
      <c r="Z24">
        <f t="shared" si="2"/>
        <v>4</v>
      </c>
      <c r="AA24">
        <f t="shared" si="3"/>
        <v>0.25999999999999995</v>
      </c>
      <c r="AB24">
        <f t="shared" si="4"/>
        <v>60.34</v>
      </c>
    </row>
    <row r="25" spans="1:28"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s="2">
        <v>2</v>
      </c>
      <c r="T25" s="2">
        <v>0.3</v>
      </c>
      <c r="U25" s="2">
        <v>-1.0196000000000001</v>
      </c>
      <c r="V25" t="str">
        <f t="shared" si="0"/>
        <v>Valid</v>
      </c>
      <c r="W25" s="2">
        <v>267.07</v>
      </c>
      <c r="X25" s="2">
        <v>656.2656164</v>
      </c>
      <c r="Y25" s="2" t="str">
        <f t="shared" si="1"/>
        <v>Normal</v>
      </c>
      <c r="Z25">
        <f t="shared" si="2"/>
        <v>2</v>
      </c>
      <c r="AA25">
        <f t="shared" si="3"/>
        <v>-1.4285714285714287E-2</v>
      </c>
      <c r="AB25">
        <f t="shared" si="4"/>
        <v>49.9604</v>
      </c>
    </row>
    <row r="26" spans="1:28"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s="2">
        <v>3</v>
      </c>
      <c r="T26" s="2">
        <v>0</v>
      </c>
      <c r="U26" s="2">
        <v>240.26490000000001</v>
      </c>
      <c r="V26" t="str">
        <f t="shared" si="0"/>
        <v>Valid</v>
      </c>
      <c r="W26" s="2">
        <v>267.07</v>
      </c>
      <c r="X26" s="2">
        <v>656.2656164</v>
      </c>
      <c r="Y26" s="2" t="str">
        <f t="shared" si="1"/>
        <v>Normal</v>
      </c>
      <c r="Z26">
        <f t="shared" si="2"/>
        <v>5</v>
      </c>
      <c r="AA26">
        <f t="shared" si="3"/>
        <v>0.22999999999999998</v>
      </c>
      <c r="AB26">
        <f t="shared" si="4"/>
        <v>1044.6300000000001</v>
      </c>
    </row>
    <row r="27" spans="1:28"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s="2">
        <v>2</v>
      </c>
      <c r="T27" s="2">
        <v>0.2</v>
      </c>
      <c r="U27" s="2">
        <v>4.2224000000000004</v>
      </c>
      <c r="V27" t="str">
        <f t="shared" si="0"/>
        <v>Valid</v>
      </c>
      <c r="W27" s="2">
        <v>267.07</v>
      </c>
      <c r="X27" s="2">
        <v>656.2656164</v>
      </c>
      <c r="Y27" s="2" t="str">
        <f t="shared" si="1"/>
        <v>Normal</v>
      </c>
      <c r="Z27">
        <f t="shared" si="2"/>
        <v>4</v>
      </c>
      <c r="AA27">
        <f t="shared" si="3"/>
        <v>0.36250000000000004</v>
      </c>
      <c r="AB27">
        <f t="shared" si="4"/>
        <v>9.3184000000000005</v>
      </c>
    </row>
    <row r="28" spans="1:28"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s="2">
        <v>3</v>
      </c>
      <c r="T28" s="2">
        <v>0</v>
      </c>
      <c r="U28" s="2">
        <v>11.774100000000001</v>
      </c>
      <c r="V28" t="str">
        <f t="shared" si="0"/>
        <v>Valid</v>
      </c>
      <c r="W28" s="2">
        <v>267.07</v>
      </c>
      <c r="X28" s="2">
        <v>656.2656164</v>
      </c>
      <c r="Y28" s="2" t="str">
        <f t="shared" si="1"/>
        <v>Normal</v>
      </c>
      <c r="Z28">
        <f t="shared" si="2"/>
        <v>4</v>
      </c>
      <c r="AA28">
        <f t="shared" si="3"/>
        <v>0.13</v>
      </c>
      <c r="AB28">
        <f t="shared" si="4"/>
        <v>90.57</v>
      </c>
    </row>
    <row r="29" spans="1:28"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s="2">
        <v>7</v>
      </c>
      <c r="T29" s="2">
        <v>0.5</v>
      </c>
      <c r="U29" s="2">
        <v>-1665.0522000000001</v>
      </c>
      <c r="V29" t="str">
        <f t="shared" si="0"/>
        <v>Valid</v>
      </c>
      <c r="W29" s="2">
        <v>267.07</v>
      </c>
      <c r="X29" s="2">
        <v>656.2656164</v>
      </c>
      <c r="Y29" s="2" t="str">
        <f t="shared" si="1"/>
        <v>High Outlier</v>
      </c>
      <c r="Z29">
        <f t="shared" si="2"/>
        <v>4</v>
      </c>
      <c r="AA29">
        <f t="shared" si="3"/>
        <v>-0.54</v>
      </c>
      <c r="AB29">
        <f t="shared" si="4"/>
        <v>1541.7149999999999</v>
      </c>
    </row>
    <row r="30" spans="1:28"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s="2">
        <v>2</v>
      </c>
      <c r="T30" s="2">
        <v>0.7</v>
      </c>
      <c r="U30" s="2">
        <v>-7.0532000000000004</v>
      </c>
      <c r="V30" t="str">
        <f t="shared" si="0"/>
        <v>Valid</v>
      </c>
      <c r="W30" s="2">
        <v>267.07</v>
      </c>
      <c r="X30" s="2">
        <v>656.2656164</v>
      </c>
      <c r="Y30" s="2" t="str">
        <f t="shared" si="1"/>
        <v>Normal</v>
      </c>
      <c r="Z30">
        <f t="shared" si="2"/>
        <v>4</v>
      </c>
      <c r="AA30">
        <f t="shared" si="3"/>
        <v>-0.73333333333333339</v>
      </c>
      <c r="AB30">
        <f t="shared" si="4"/>
        <v>2.8854000000000006</v>
      </c>
    </row>
    <row r="31" spans="1:28"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s="2">
        <v>3</v>
      </c>
      <c r="T31" s="2">
        <v>0.2</v>
      </c>
      <c r="U31" s="2">
        <v>15.525</v>
      </c>
      <c r="V31" t="str">
        <f t="shared" si="0"/>
        <v>Valid</v>
      </c>
      <c r="W31" s="2">
        <v>267.07</v>
      </c>
      <c r="X31" s="2">
        <v>656.2656164</v>
      </c>
      <c r="Y31" s="2" t="str">
        <f t="shared" si="1"/>
        <v>Normal</v>
      </c>
      <c r="Z31">
        <f t="shared" si="2"/>
        <v>4</v>
      </c>
      <c r="AA31">
        <f t="shared" si="3"/>
        <v>0.125</v>
      </c>
      <c r="AB31">
        <f t="shared" si="4"/>
        <v>99.360000000000014</v>
      </c>
    </row>
    <row r="32" spans="1:28"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s="2">
        <v>2</v>
      </c>
      <c r="T32" s="2">
        <v>0.2</v>
      </c>
      <c r="U32" s="2">
        <v>1.1015999999999999</v>
      </c>
      <c r="V32" t="str">
        <f t="shared" si="0"/>
        <v>Valid</v>
      </c>
      <c r="W32" s="2">
        <v>267.07</v>
      </c>
      <c r="X32" s="2">
        <v>656.2656164</v>
      </c>
      <c r="Y32" s="2" t="str">
        <f t="shared" si="1"/>
        <v>Normal</v>
      </c>
      <c r="Z32">
        <f t="shared" si="2"/>
        <v>4</v>
      </c>
      <c r="AA32">
        <f t="shared" si="3"/>
        <v>0.33750000000000002</v>
      </c>
      <c r="AB32">
        <f t="shared" si="4"/>
        <v>2.6112000000000002</v>
      </c>
    </row>
    <row r="33" spans="1:28"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s="2">
        <v>6</v>
      </c>
      <c r="T33" s="2">
        <v>0.2</v>
      </c>
      <c r="U33" s="2">
        <v>9.7091999999999992</v>
      </c>
      <c r="V33" t="str">
        <f t="shared" si="0"/>
        <v>Valid</v>
      </c>
      <c r="W33" s="2">
        <v>267.07</v>
      </c>
      <c r="X33" s="2">
        <v>656.2656164</v>
      </c>
      <c r="Y33" s="2" t="str">
        <f t="shared" si="1"/>
        <v>Normal</v>
      </c>
      <c r="Z33">
        <f t="shared" si="2"/>
        <v>4</v>
      </c>
      <c r="AA33">
        <f t="shared" si="3"/>
        <v>0.11249999999999999</v>
      </c>
      <c r="AB33">
        <f t="shared" si="4"/>
        <v>69.043199999999999</v>
      </c>
    </row>
    <row r="34" spans="1:28"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s="2">
        <v>6</v>
      </c>
      <c r="T34" s="2">
        <v>0.7</v>
      </c>
      <c r="U34" s="2">
        <v>-5.7149999999999999</v>
      </c>
      <c r="V34" t="str">
        <f t="shared" si="0"/>
        <v>Valid</v>
      </c>
      <c r="W34" s="2">
        <v>267.07</v>
      </c>
      <c r="X34" s="2">
        <v>656.2656164</v>
      </c>
      <c r="Y34" s="2" t="str">
        <f t="shared" si="1"/>
        <v>Normal</v>
      </c>
      <c r="Z34">
        <f t="shared" si="2"/>
        <v>4</v>
      </c>
      <c r="AA34">
        <f t="shared" si="3"/>
        <v>-0.83333333333333337</v>
      </c>
      <c r="AB34">
        <f t="shared" si="4"/>
        <v>2.0574000000000003</v>
      </c>
    </row>
    <row r="35" spans="1:28"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s="2">
        <v>2</v>
      </c>
      <c r="T35" s="2">
        <v>0.2</v>
      </c>
      <c r="U35" s="2">
        <v>3.5459999999999998</v>
      </c>
      <c r="V35" t="str">
        <f t="shared" si="0"/>
        <v>Valid</v>
      </c>
      <c r="W35" s="2">
        <v>267.07</v>
      </c>
      <c r="X35" s="2">
        <v>656.2656164</v>
      </c>
      <c r="Y35" s="2" t="str">
        <f t="shared" si="1"/>
        <v>Normal</v>
      </c>
      <c r="Z35">
        <f t="shared" si="2"/>
        <v>4</v>
      </c>
      <c r="AA35">
        <f t="shared" si="3"/>
        <v>0.22499999999999998</v>
      </c>
      <c r="AB35">
        <f t="shared" si="4"/>
        <v>12.608000000000001</v>
      </c>
    </row>
    <row r="36" spans="1:28"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s="2">
        <v>3</v>
      </c>
      <c r="T36" s="2">
        <v>0.2</v>
      </c>
      <c r="U36" s="2">
        <v>9.9467999999999996</v>
      </c>
      <c r="V36" t="str">
        <f t="shared" si="0"/>
        <v>Valid</v>
      </c>
      <c r="W36" s="2">
        <v>267.07</v>
      </c>
      <c r="X36" s="2">
        <v>656.2656164</v>
      </c>
      <c r="Y36" s="2" t="str">
        <f t="shared" si="1"/>
        <v>Normal</v>
      </c>
      <c r="Z36">
        <f t="shared" si="2"/>
        <v>4</v>
      </c>
      <c r="AA36">
        <f t="shared" si="3"/>
        <v>0.33749999999999997</v>
      </c>
      <c r="AB36">
        <f t="shared" si="4"/>
        <v>23.577600000000004</v>
      </c>
    </row>
    <row r="37" spans="1:28"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s="2">
        <v>7</v>
      </c>
      <c r="T37" s="2">
        <v>0.2</v>
      </c>
      <c r="U37" s="2">
        <v>123.47369999999999</v>
      </c>
      <c r="V37" t="str">
        <f t="shared" si="0"/>
        <v>Valid</v>
      </c>
      <c r="W37" s="2">
        <v>267.07</v>
      </c>
      <c r="X37" s="2">
        <v>656.2656164</v>
      </c>
      <c r="Y37" s="2" t="str">
        <f t="shared" si="1"/>
        <v>Normal</v>
      </c>
      <c r="Z37">
        <f t="shared" si="2"/>
        <v>2</v>
      </c>
      <c r="AA37">
        <f t="shared" si="3"/>
        <v>0.11249999999999999</v>
      </c>
      <c r="AB37">
        <f t="shared" si="4"/>
        <v>878.03520000000015</v>
      </c>
    </row>
    <row r="38" spans="1:28"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s="2">
        <v>5</v>
      </c>
      <c r="T38" s="2">
        <v>0.6</v>
      </c>
      <c r="U38" s="2">
        <v>-147.96299999999999</v>
      </c>
      <c r="V38" t="str">
        <f t="shared" si="0"/>
        <v>Valid</v>
      </c>
      <c r="W38" s="2">
        <v>267.07</v>
      </c>
      <c r="X38" s="2">
        <v>656.2656164</v>
      </c>
      <c r="Y38" s="2" t="str">
        <f t="shared" si="1"/>
        <v>Normal</v>
      </c>
      <c r="Z38">
        <f t="shared" si="2"/>
        <v>2</v>
      </c>
      <c r="AA38">
        <f t="shared" si="3"/>
        <v>-0.77500000000000002</v>
      </c>
      <c r="AB38">
        <f t="shared" si="4"/>
        <v>76.367999999999995</v>
      </c>
    </row>
    <row r="39" spans="1:28"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s="2">
        <v>9</v>
      </c>
      <c r="T39" s="2">
        <v>0.2</v>
      </c>
      <c r="U39" s="2">
        <v>35.414999999999999</v>
      </c>
      <c r="V39" t="str">
        <f t="shared" si="0"/>
        <v>Valid</v>
      </c>
      <c r="W39" s="2">
        <v>267.07</v>
      </c>
      <c r="X39" s="2">
        <v>656.2656164</v>
      </c>
      <c r="Y39" s="2" t="str">
        <f t="shared" si="1"/>
        <v>Normal</v>
      </c>
      <c r="Z39">
        <f t="shared" si="2"/>
        <v>4</v>
      </c>
      <c r="AA39">
        <f t="shared" si="3"/>
        <v>0.3125</v>
      </c>
      <c r="AB39">
        <f t="shared" si="4"/>
        <v>90.662400000000005</v>
      </c>
    </row>
    <row r="40" spans="1:28"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s="2">
        <v>3</v>
      </c>
      <c r="T40" s="2">
        <v>0.32</v>
      </c>
      <c r="U40" s="2">
        <v>-46.976399999999998</v>
      </c>
      <c r="V40" t="str">
        <f t="shared" si="0"/>
        <v>Valid</v>
      </c>
      <c r="W40" s="2">
        <v>267.07</v>
      </c>
      <c r="X40" s="2">
        <v>656.2656164</v>
      </c>
      <c r="Y40" s="2" t="str">
        <f t="shared" si="1"/>
        <v>Normal</v>
      </c>
      <c r="Z40">
        <f t="shared" si="2"/>
        <v>4</v>
      </c>
      <c r="AA40">
        <f t="shared" si="3"/>
        <v>-8.8235294117647065E-2</v>
      </c>
      <c r="AB40">
        <f t="shared" si="4"/>
        <v>362.03145599999993</v>
      </c>
    </row>
    <row r="41" spans="1:28"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s="2">
        <v>3</v>
      </c>
      <c r="T41" s="2">
        <v>0.3</v>
      </c>
      <c r="U41" s="2">
        <v>-15.147</v>
      </c>
      <c r="V41" t="str">
        <f t="shared" si="0"/>
        <v>Valid</v>
      </c>
      <c r="W41" s="2">
        <v>267.07</v>
      </c>
      <c r="X41" s="2">
        <v>656.2656164</v>
      </c>
      <c r="Y41" s="2" t="str">
        <f t="shared" si="1"/>
        <v>Normal</v>
      </c>
      <c r="Z41">
        <f t="shared" si="2"/>
        <v>4</v>
      </c>
      <c r="AA41">
        <f t="shared" si="3"/>
        <v>-7.1428571428571438E-2</v>
      </c>
      <c r="AB41">
        <f t="shared" si="4"/>
        <v>148.44059999999999</v>
      </c>
    </row>
    <row r="42" spans="1:28"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s="2">
        <v>4</v>
      </c>
      <c r="T42" s="2">
        <v>0.2</v>
      </c>
      <c r="U42" s="2">
        <v>41.756399999999999</v>
      </c>
      <c r="V42" t="str">
        <f t="shared" si="0"/>
        <v>Valid</v>
      </c>
      <c r="W42" s="2">
        <v>267.07</v>
      </c>
      <c r="X42" s="2">
        <v>656.2656164</v>
      </c>
      <c r="Y42" s="2" t="str">
        <f t="shared" si="1"/>
        <v>Normal</v>
      </c>
      <c r="Z42">
        <f t="shared" si="2"/>
        <v>4</v>
      </c>
      <c r="AA42">
        <f t="shared" si="3"/>
        <v>0.1125</v>
      </c>
      <c r="AB42">
        <f t="shared" si="4"/>
        <v>296.93440000000004</v>
      </c>
    </row>
    <row r="43" spans="1:28"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s="2">
        <v>4</v>
      </c>
      <c r="T43" s="2">
        <v>0.2</v>
      </c>
      <c r="U43" s="2">
        <v>16.5564</v>
      </c>
      <c r="V43" t="str">
        <f t="shared" si="0"/>
        <v>Valid</v>
      </c>
      <c r="W43" s="2">
        <v>267.07</v>
      </c>
      <c r="X43" s="2">
        <v>656.2656164</v>
      </c>
      <c r="Y43" s="2" t="str">
        <f t="shared" si="1"/>
        <v>Normal</v>
      </c>
      <c r="Z43">
        <f t="shared" si="2"/>
        <v>5</v>
      </c>
      <c r="AA43">
        <f t="shared" si="3"/>
        <v>0.11249999999999999</v>
      </c>
      <c r="AB43">
        <f t="shared" si="4"/>
        <v>117.73440000000001</v>
      </c>
    </row>
    <row r="44" spans="1:28"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s="2">
        <v>2</v>
      </c>
      <c r="T44" s="2">
        <v>0</v>
      </c>
      <c r="U44" s="2">
        <v>3.8940000000000001</v>
      </c>
      <c r="V44" t="str">
        <f t="shared" si="0"/>
        <v>Valid</v>
      </c>
      <c r="W44" s="2">
        <v>267.07</v>
      </c>
      <c r="X44" s="2">
        <v>656.2656164</v>
      </c>
      <c r="Y44" s="2" t="str">
        <f t="shared" si="1"/>
        <v>Normal</v>
      </c>
      <c r="Z44">
        <f t="shared" si="2"/>
        <v>5</v>
      </c>
      <c r="AA44">
        <f t="shared" si="3"/>
        <v>0.05</v>
      </c>
      <c r="AB44">
        <f t="shared" si="4"/>
        <v>77.88</v>
      </c>
    </row>
    <row r="45" spans="1:28"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s="2">
        <v>2</v>
      </c>
      <c r="T45" s="2">
        <v>0.2</v>
      </c>
      <c r="U45" s="2">
        <v>9.5616000000000003</v>
      </c>
      <c r="V45" t="str">
        <f t="shared" si="0"/>
        <v>Valid</v>
      </c>
      <c r="W45" s="2">
        <v>267.07</v>
      </c>
      <c r="X45" s="2">
        <v>656.2656164</v>
      </c>
      <c r="Y45" s="2" t="str">
        <f t="shared" si="1"/>
        <v>Normal</v>
      </c>
      <c r="Z45">
        <f t="shared" si="2"/>
        <v>4</v>
      </c>
      <c r="AA45">
        <f t="shared" si="3"/>
        <v>0.1</v>
      </c>
      <c r="AB45">
        <f t="shared" si="4"/>
        <v>76.492800000000003</v>
      </c>
    </row>
    <row r="46" spans="1:28"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s="2">
        <v>2</v>
      </c>
      <c r="T46" s="2">
        <v>0</v>
      </c>
      <c r="U46" s="2">
        <v>19.7714</v>
      </c>
      <c r="V46" t="str">
        <f t="shared" si="0"/>
        <v>Valid</v>
      </c>
      <c r="W46" s="2">
        <v>267.07</v>
      </c>
      <c r="X46" s="2">
        <v>656.2656164</v>
      </c>
      <c r="Y46" s="2" t="str">
        <f t="shared" si="1"/>
        <v>Normal</v>
      </c>
      <c r="Z46">
        <f t="shared" si="2"/>
        <v>2</v>
      </c>
      <c r="AA46">
        <f t="shared" si="3"/>
        <v>0.43000000000000005</v>
      </c>
      <c r="AB46">
        <f t="shared" si="4"/>
        <v>45.98</v>
      </c>
    </row>
    <row r="47" spans="1:28"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s="2">
        <v>2</v>
      </c>
      <c r="T47" s="2">
        <v>0</v>
      </c>
      <c r="U47" s="2">
        <v>8.2062000000000008</v>
      </c>
      <c r="V47" t="str">
        <f t="shared" si="0"/>
        <v>Valid</v>
      </c>
      <c r="W47" s="2">
        <v>267.07</v>
      </c>
      <c r="X47" s="2">
        <v>656.2656164</v>
      </c>
      <c r="Y47" s="2" t="str">
        <f t="shared" si="1"/>
        <v>Normal</v>
      </c>
      <c r="Z47">
        <f t="shared" si="2"/>
        <v>2</v>
      </c>
      <c r="AA47">
        <f t="shared" si="3"/>
        <v>0.47000000000000003</v>
      </c>
      <c r="AB47">
        <f t="shared" si="4"/>
        <v>17.46</v>
      </c>
    </row>
    <row r="48" spans="1:28"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s="2">
        <v>4</v>
      </c>
      <c r="T48" s="2">
        <v>0</v>
      </c>
      <c r="U48" s="2">
        <v>8.4784000000000006</v>
      </c>
      <c r="V48" t="str">
        <f t="shared" si="0"/>
        <v>Valid</v>
      </c>
      <c r="W48" s="2">
        <v>267.07</v>
      </c>
      <c r="X48" s="2">
        <v>656.2656164</v>
      </c>
      <c r="Y48" s="2" t="str">
        <f t="shared" si="1"/>
        <v>Normal</v>
      </c>
      <c r="Z48">
        <f t="shared" si="2"/>
        <v>5</v>
      </c>
      <c r="AA48">
        <f t="shared" si="3"/>
        <v>0.04</v>
      </c>
      <c r="AB48">
        <f t="shared" si="4"/>
        <v>211.96</v>
      </c>
    </row>
    <row r="49" spans="1:28"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s="2">
        <v>3</v>
      </c>
      <c r="T49" s="2">
        <v>0</v>
      </c>
      <c r="U49" s="2">
        <v>4.95</v>
      </c>
      <c r="V49" t="str">
        <f t="shared" si="0"/>
        <v>Valid</v>
      </c>
      <c r="W49" s="2">
        <v>267.07</v>
      </c>
      <c r="X49" s="2">
        <v>656.2656164</v>
      </c>
      <c r="Y49" s="2" t="str">
        <f t="shared" si="1"/>
        <v>Normal</v>
      </c>
      <c r="Z49">
        <f t="shared" si="2"/>
        <v>5</v>
      </c>
      <c r="AA49">
        <f t="shared" si="3"/>
        <v>0.11</v>
      </c>
      <c r="AB49">
        <f t="shared" si="4"/>
        <v>45</v>
      </c>
    </row>
    <row r="50" spans="1:28"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s="2">
        <v>2</v>
      </c>
      <c r="T50" s="2">
        <v>0</v>
      </c>
      <c r="U50" s="2">
        <v>6.1040000000000001</v>
      </c>
      <c r="V50" t="str">
        <f t="shared" si="0"/>
        <v>Valid</v>
      </c>
      <c r="W50" s="2">
        <v>267.07</v>
      </c>
      <c r="X50" s="2">
        <v>656.2656164</v>
      </c>
      <c r="Y50" s="2" t="str">
        <f t="shared" si="1"/>
        <v>Normal</v>
      </c>
      <c r="Z50">
        <f t="shared" si="2"/>
        <v>5</v>
      </c>
      <c r="AA50">
        <f t="shared" si="3"/>
        <v>0.27999999999999997</v>
      </c>
      <c r="AB50">
        <f t="shared" si="4"/>
        <v>21.8</v>
      </c>
    </row>
    <row r="51" spans="1:28"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s="2">
        <v>6</v>
      </c>
      <c r="T51" s="2">
        <v>0</v>
      </c>
      <c r="U51" s="2">
        <v>17.9634</v>
      </c>
      <c r="V51" t="str">
        <f t="shared" si="0"/>
        <v>Valid</v>
      </c>
      <c r="W51" s="2">
        <v>267.07</v>
      </c>
      <c r="X51" s="2">
        <v>656.2656164</v>
      </c>
      <c r="Y51" s="2" t="str">
        <f t="shared" si="1"/>
        <v>Normal</v>
      </c>
      <c r="Z51">
        <f t="shared" si="2"/>
        <v>4</v>
      </c>
      <c r="AA51">
        <f t="shared" si="3"/>
        <v>0.47000000000000003</v>
      </c>
      <c r="AB51">
        <f t="shared" si="4"/>
        <v>38.22</v>
      </c>
    </row>
    <row r="52" spans="1:28"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s="2">
        <v>6</v>
      </c>
      <c r="T52" s="2">
        <v>0</v>
      </c>
      <c r="U52" s="2">
        <v>35.334600000000002</v>
      </c>
      <c r="V52" t="str">
        <f t="shared" si="0"/>
        <v>Valid</v>
      </c>
      <c r="W52" s="2">
        <v>267.07</v>
      </c>
      <c r="X52" s="2">
        <v>656.2656164</v>
      </c>
      <c r="Y52" s="2" t="str">
        <f t="shared" si="1"/>
        <v>Normal</v>
      </c>
      <c r="Z52">
        <f t="shared" si="2"/>
        <v>4</v>
      </c>
      <c r="AA52">
        <f t="shared" si="3"/>
        <v>0.47</v>
      </c>
      <c r="AB52">
        <f t="shared" si="4"/>
        <v>75.180000000000007</v>
      </c>
    </row>
    <row r="53" spans="1:28"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s="2">
        <v>2</v>
      </c>
      <c r="T53" s="2">
        <v>0</v>
      </c>
      <c r="U53" s="2">
        <v>2.9567999999999999</v>
      </c>
      <c r="V53" t="str">
        <f t="shared" si="0"/>
        <v>Valid</v>
      </c>
      <c r="W53" s="2">
        <v>267.07</v>
      </c>
      <c r="X53" s="2">
        <v>656.2656164</v>
      </c>
      <c r="Y53" s="2" t="str">
        <f t="shared" si="1"/>
        <v>Normal</v>
      </c>
      <c r="Z53">
        <f t="shared" si="2"/>
        <v>4</v>
      </c>
      <c r="AA53">
        <f t="shared" si="3"/>
        <v>0.48</v>
      </c>
      <c r="AB53">
        <f t="shared" si="4"/>
        <v>6.16</v>
      </c>
    </row>
    <row r="54" spans="1:28"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s="2">
        <v>1</v>
      </c>
      <c r="T54" s="2">
        <v>0</v>
      </c>
      <c r="U54" s="2">
        <v>17.098099999999999</v>
      </c>
      <c r="V54" t="str">
        <f t="shared" si="0"/>
        <v>Valid</v>
      </c>
      <c r="W54" s="2">
        <v>267.07</v>
      </c>
      <c r="X54" s="2">
        <v>656.2656164</v>
      </c>
      <c r="Y54" s="2" t="str">
        <f t="shared" si="1"/>
        <v>Normal</v>
      </c>
      <c r="Z54">
        <f t="shared" si="2"/>
        <v>4</v>
      </c>
      <c r="AA54">
        <f t="shared" si="3"/>
        <v>0.19</v>
      </c>
      <c r="AB54">
        <f t="shared" si="4"/>
        <v>89.99</v>
      </c>
    </row>
    <row r="55" spans="1:28"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s="2">
        <v>7</v>
      </c>
      <c r="T55" s="2">
        <v>0</v>
      </c>
      <c r="U55" s="2">
        <v>6.2565999999999997</v>
      </c>
      <c r="V55" t="str">
        <f t="shared" si="0"/>
        <v>Valid</v>
      </c>
      <c r="W55" s="2">
        <v>267.07</v>
      </c>
      <c r="X55" s="2">
        <v>656.2656164</v>
      </c>
      <c r="Y55" s="2" t="str">
        <f t="shared" si="1"/>
        <v>Normal</v>
      </c>
      <c r="Z55">
        <f t="shared" si="2"/>
        <v>6</v>
      </c>
      <c r="AA55">
        <f t="shared" si="3"/>
        <v>0.41</v>
      </c>
      <c r="AB55">
        <f t="shared" si="4"/>
        <v>15.26</v>
      </c>
    </row>
    <row r="56" spans="1:28"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s="2">
        <v>5</v>
      </c>
      <c r="T56" s="2">
        <v>0</v>
      </c>
      <c r="U56" s="2">
        <v>298.68549999999999</v>
      </c>
      <c r="V56" t="str">
        <f t="shared" si="0"/>
        <v>Valid</v>
      </c>
      <c r="W56" s="2">
        <v>267.07</v>
      </c>
      <c r="X56" s="2">
        <v>656.2656164</v>
      </c>
      <c r="Y56" s="2" t="str">
        <f t="shared" si="1"/>
        <v>Normal</v>
      </c>
      <c r="Z56">
        <f t="shared" si="2"/>
        <v>6</v>
      </c>
      <c r="AA56">
        <f t="shared" si="3"/>
        <v>0.28999999999999998</v>
      </c>
      <c r="AB56">
        <f t="shared" si="4"/>
        <v>1029.95</v>
      </c>
    </row>
    <row r="57" spans="1:28"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s="2">
        <v>6</v>
      </c>
      <c r="T57" s="2">
        <v>0</v>
      </c>
      <c r="U57" s="2">
        <v>52.14</v>
      </c>
      <c r="V57" t="str">
        <f t="shared" si="0"/>
        <v>Valid</v>
      </c>
      <c r="W57" s="2">
        <v>267.07</v>
      </c>
      <c r="X57" s="2">
        <v>656.2656164</v>
      </c>
      <c r="Y57" s="2" t="str">
        <f t="shared" si="1"/>
        <v>Normal</v>
      </c>
      <c r="Z57">
        <f t="shared" si="2"/>
        <v>1</v>
      </c>
      <c r="AA57">
        <f t="shared" si="3"/>
        <v>0.25</v>
      </c>
      <c r="AB57">
        <f t="shared" si="4"/>
        <v>208.56</v>
      </c>
    </row>
    <row r="58" spans="1:28"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s="2">
        <v>5</v>
      </c>
      <c r="T58" s="2">
        <v>0</v>
      </c>
      <c r="U58" s="2">
        <v>15.552</v>
      </c>
      <c r="V58" t="str">
        <f t="shared" si="0"/>
        <v>Valid</v>
      </c>
      <c r="W58" s="2">
        <v>267.07</v>
      </c>
      <c r="X58" s="2">
        <v>656.2656164</v>
      </c>
      <c r="Y58" s="2" t="str">
        <f t="shared" si="1"/>
        <v>Normal</v>
      </c>
      <c r="Z58">
        <f t="shared" si="2"/>
        <v>1</v>
      </c>
      <c r="AA58">
        <f t="shared" si="3"/>
        <v>0.48</v>
      </c>
      <c r="AB58">
        <f t="shared" si="4"/>
        <v>32.4</v>
      </c>
    </row>
    <row r="59" spans="1:28"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s="2">
        <v>5</v>
      </c>
      <c r="T59" s="2">
        <v>0.1</v>
      </c>
      <c r="U59" s="2">
        <v>7.0979999999999999</v>
      </c>
      <c r="V59" t="str">
        <f t="shared" si="0"/>
        <v>Valid</v>
      </c>
      <c r="W59" s="2">
        <v>267.07</v>
      </c>
      <c r="X59" s="2">
        <v>656.2656164</v>
      </c>
      <c r="Y59" s="2" t="str">
        <f t="shared" si="1"/>
        <v>Normal</v>
      </c>
      <c r="Z59">
        <f t="shared" si="2"/>
        <v>1</v>
      </c>
      <c r="AA59">
        <f t="shared" si="3"/>
        <v>2.222222222222222E-2</v>
      </c>
      <c r="AB59">
        <f t="shared" si="4"/>
        <v>287.46900000000005</v>
      </c>
    </row>
    <row r="60" spans="1:28"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s="2">
        <v>2</v>
      </c>
      <c r="T60" s="2">
        <v>0</v>
      </c>
      <c r="U60" s="2">
        <v>6.9888000000000003</v>
      </c>
      <c r="V60" t="str">
        <f t="shared" si="0"/>
        <v>Valid</v>
      </c>
      <c r="W60" s="2">
        <v>267.07</v>
      </c>
      <c r="X60" s="2">
        <v>656.2656164</v>
      </c>
      <c r="Y60" s="2" t="str">
        <f t="shared" si="1"/>
        <v>Normal</v>
      </c>
      <c r="Z60">
        <f t="shared" si="2"/>
        <v>1</v>
      </c>
      <c r="AA60">
        <f t="shared" si="3"/>
        <v>0.48</v>
      </c>
      <c r="AB60">
        <f t="shared" si="4"/>
        <v>14.56</v>
      </c>
    </row>
    <row r="61" spans="1:28"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s="2">
        <v>2</v>
      </c>
      <c r="T61" s="2">
        <v>0</v>
      </c>
      <c r="U61" s="2">
        <v>3.3</v>
      </c>
      <c r="V61" t="str">
        <f t="shared" si="0"/>
        <v>Valid</v>
      </c>
      <c r="W61" s="2">
        <v>267.07</v>
      </c>
      <c r="X61" s="2">
        <v>656.2656164</v>
      </c>
      <c r="Y61" s="2" t="str">
        <f t="shared" si="1"/>
        <v>Normal</v>
      </c>
      <c r="Z61">
        <f t="shared" si="2"/>
        <v>1</v>
      </c>
      <c r="AA61">
        <f t="shared" si="3"/>
        <v>0.11</v>
      </c>
      <c r="AB61">
        <f t="shared" si="4"/>
        <v>30</v>
      </c>
    </row>
    <row r="62" spans="1:28"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s="2">
        <v>4</v>
      </c>
      <c r="T62" s="2">
        <v>0.2</v>
      </c>
      <c r="U62" s="2">
        <v>16.361999999999998</v>
      </c>
      <c r="V62" t="str">
        <f t="shared" si="0"/>
        <v>Valid</v>
      </c>
      <c r="W62" s="2">
        <v>267.07</v>
      </c>
      <c r="X62" s="2">
        <v>656.2656164</v>
      </c>
      <c r="Y62" s="2" t="str">
        <f t="shared" si="1"/>
        <v>Normal</v>
      </c>
      <c r="Z62">
        <f t="shared" si="2"/>
        <v>1</v>
      </c>
      <c r="AA62">
        <f t="shared" si="3"/>
        <v>0.33749999999999997</v>
      </c>
      <c r="AB62">
        <f t="shared" si="4"/>
        <v>38.783999999999999</v>
      </c>
    </row>
    <row r="63" spans="1:28"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s="2">
        <v>1</v>
      </c>
      <c r="T63" s="2">
        <v>0</v>
      </c>
      <c r="U63" s="2">
        <v>0.84</v>
      </c>
      <c r="V63" t="str">
        <f t="shared" si="0"/>
        <v>Valid</v>
      </c>
      <c r="W63" s="2">
        <v>267.07</v>
      </c>
      <c r="X63" s="2">
        <v>656.2656164</v>
      </c>
      <c r="Y63" s="2" t="str">
        <f t="shared" si="1"/>
        <v>Normal</v>
      </c>
      <c r="Z63">
        <f t="shared" si="2"/>
        <v>1</v>
      </c>
      <c r="AA63">
        <f t="shared" si="3"/>
        <v>0.5</v>
      </c>
      <c r="AB63">
        <f t="shared" si="4"/>
        <v>1.68</v>
      </c>
    </row>
    <row r="64" spans="1:28"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s="2">
        <v>2</v>
      </c>
      <c r="T64" s="2">
        <v>0</v>
      </c>
      <c r="U64" s="2">
        <v>6.1512000000000002</v>
      </c>
      <c r="V64" t="str">
        <f t="shared" si="0"/>
        <v>Valid</v>
      </c>
      <c r="W64" s="2">
        <v>267.07</v>
      </c>
      <c r="X64" s="2">
        <v>656.2656164</v>
      </c>
      <c r="Y64" s="2" t="str">
        <f t="shared" si="1"/>
        <v>Normal</v>
      </c>
      <c r="Z64">
        <f t="shared" si="2"/>
        <v>6</v>
      </c>
      <c r="AA64">
        <f t="shared" si="3"/>
        <v>0.44</v>
      </c>
      <c r="AB64">
        <f t="shared" si="4"/>
        <v>13.98</v>
      </c>
    </row>
    <row r="65" spans="1:28"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s="2">
        <v>6</v>
      </c>
      <c r="T65" s="2">
        <v>0.2</v>
      </c>
      <c r="U65" s="2">
        <v>9.3612000000000002</v>
      </c>
      <c r="V65" t="str">
        <f t="shared" si="0"/>
        <v>Valid</v>
      </c>
      <c r="W65" s="2">
        <v>267.07</v>
      </c>
      <c r="X65" s="2">
        <v>656.2656164</v>
      </c>
      <c r="Y65" s="2" t="str">
        <f t="shared" si="1"/>
        <v>Normal</v>
      </c>
      <c r="Z65">
        <f t="shared" si="2"/>
        <v>6</v>
      </c>
      <c r="AA65">
        <f t="shared" si="3"/>
        <v>0.36249999999999999</v>
      </c>
      <c r="AB65">
        <f t="shared" si="4"/>
        <v>20.659200000000002</v>
      </c>
    </row>
    <row r="66" spans="1:28"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s="2">
        <v>3</v>
      </c>
      <c r="T66" s="2">
        <v>0</v>
      </c>
      <c r="U66" s="2">
        <v>68.963099999999997</v>
      </c>
      <c r="V66" t="str">
        <f t="shared" si="0"/>
        <v>Valid</v>
      </c>
      <c r="W66" s="2">
        <v>267.07</v>
      </c>
      <c r="X66" s="2">
        <v>656.2656164</v>
      </c>
      <c r="Y66" s="2" t="str">
        <f t="shared" si="1"/>
        <v>Normal</v>
      </c>
      <c r="Z66">
        <f t="shared" si="2"/>
        <v>6</v>
      </c>
      <c r="AA66">
        <f t="shared" si="3"/>
        <v>0.47000000000000003</v>
      </c>
      <c r="AB66">
        <f t="shared" si="4"/>
        <v>146.72999999999999</v>
      </c>
    </row>
    <row r="67" spans="1:28"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s="2">
        <v>4</v>
      </c>
      <c r="T67" s="2">
        <v>0</v>
      </c>
      <c r="U67" s="2">
        <v>22.332799999999999</v>
      </c>
      <c r="V67" t="str">
        <f t="shared" ref="V67:V130" si="5">IF(D67&gt;=C67, "Valid", "Error")</f>
        <v>Valid</v>
      </c>
      <c r="W67" s="2">
        <v>267.07</v>
      </c>
      <c r="X67" s="2">
        <v>656.2656164</v>
      </c>
      <c r="Y67" s="2" t="str">
        <f t="shared" ref="Y67:Y130" si="6">IF(R67 &gt;(W67 + 3*X67), "High Outlier",  "Normal")</f>
        <v>Normal</v>
      </c>
      <c r="Z67">
        <f t="shared" ref="Z67:Z130" si="7">_xlfn.DAYS(D67,C67)</f>
        <v>6</v>
      </c>
      <c r="AA67">
        <f t="shared" ref="AA67:AA130" si="8">U67/R67</f>
        <v>0.27999999999999997</v>
      </c>
      <c r="AB67">
        <f t="shared" ref="AB67:AB130" si="9">R67*(1-T67)</f>
        <v>79.760000000000005</v>
      </c>
    </row>
    <row r="68" spans="1:28"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s="2">
        <v>5</v>
      </c>
      <c r="T68" s="2">
        <v>0.3</v>
      </c>
      <c r="U68" s="2">
        <v>-15.2225</v>
      </c>
      <c r="V68" t="str">
        <f t="shared" si="5"/>
        <v>Valid</v>
      </c>
      <c r="W68" s="2">
        <v>267.07</v>
      </c>
      <c r="X68" s="2">
        <v>656.2656164</v>
      </c>
      <c r="Y68" s="2" t="str">
        <f t="shared" si="6"/>
        <v>Normal</v>
      </c>
      <c r="Z68">
        <f t="shared" si="7"/>
        <v>5</v>
      </c>
      <c r="AA68">
        <f t="shared" si="8"/>
        <v>-7.1428571428571425E-2</v>
      </c>
      <c r="AB68">
        <f t="shared" si="9"/>
        <v>149.18049999999999</v>
      </c>
    </row>
    <row r="69" spans="1:28"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s="2">
        <v>8</v>
      </c>
      <c r="T69" s="2">
        <v>0.2</v>
      </c>
      <c r="U69" s="2">
        <v>111.30240000000001</v>
      </c>
      <c r="V69" t="str">
        <f t="shared" si="5"/>
        <v>Valid</v>
      </c>
      <c r="W69" s="2">
        <v>267.07</v>
      </c>
      <c r="X69" s="2">
        <v>656.2656164</v>
      </c>
      <c r="Y69" s="2" t="str">
        <f t="shared" si="6"/>
        <v>Normal</v>
      </c>
      <c r="Z69">
        <f t="shared" si="7"/>
        <v>5</v>
      </c>
      <c r="AA69">
        <f t="shared" si="8"/>
        <v>0.10000000000000002</v>
      </c>
      <c r="AB69">
        <f t="shared" si="9"/>
        <v>890.41919999999993</v>
      </c>
    </row>
    <row r="70" spans="1:28"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s="2">
        <v>4</v>
      </c>
      <c r="T70" s="2">
        <v>0.2</v>
      </c>
      <c r="U70" s="2">
        <v>62.988</v>
      </c>
      <c r="V70" t="str">
        <f t="shared" si="5"/>
        <v>Valid</v>
      </c>
      <c r="W70" s="2">
        <v>267.07</v>
      </c>
      <c r="X70" s="2">
        <v>656.2656164</v>
      </c>
      <c r="Y70" s="2" t="str">
        <f t="shared" si="6"/>
        <v>Normal</v>
      </c>
      <c r="Z70">
        <f t="shared" si="7"/>
        <v>5</v>
      </c>
      <c r="AA70">
        <f t="shared" si="8"/>
        <v>0.375</v>
      </c>
      <c r="AB70">
        <f t="shared" si="9"/>
        <v>134.37440000000001</v>
      </c>
    </row>
    <row r="71" spans="1:28"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s="2">
        <v>2</v>
      </c>
      <c r="T71" s="2">
        <v>0</v>
      </c>
      <c r="U71" s="2">
        <v>35.663600000000002</v>
      </c>
      <c r="V71" t="str">
        <f t="shared" si="5"/>
        <v>Valid</v>
      </c>
      <c r="W71" s="2">
        <v>267.07</v>
      </c>
      <c r="X71" s="2">
        <v>656.2656164</v>
      </c>
      <c r="Y71" s="2" t="str">
        <f t="shared" si="6"/>
        <v>Normal</v>
      </c>
      <c r="Z71">
        <f t="shared" si="7"/>
        <v>2</v>
      </c>
      <c r="AA71">
        <f t="shared" si="8"/>
        <v>0.47000000000000008</v>
      </c>
      <c r="AB71">
        <f t="shared" si="9"/>
        <v>75.88</v>
      </c>
    </row>
    <row r="72" spans="1:28"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s="2">
        <v>1</v>
      </c>
      <c r="T72" s="2">
        <v>0.2</v>
      </c>
      <c r="U72" s="2">
        <v>1.7310000000000001</v>
      </c>
      <c r="V72" t="str">
        <f t="shared" si="5"/>
        <v>Valid</v>
      </c>
      <c r="W72" s="2">
        <v>267.07</v>
      </c>
      <c r="X72" s="2">
        <v>656.2656164</v>
      </c>
      <c r="Y72" s="2" t="str">
        <f t="shared" si="6"/>
        <v>Normal</v>
      </c>
      <c r="Z72">
        <f t="shared" si="7"/>
        <v>5</v>
      </c>
      <c r="AA72">
        <f t="shared" si="8"/>
        <v>0.37500000000000006</v>
      </c>
      <c r="AB72">
        <f t="shared" si="9"/>
        <v>3.6928000000000001</v>
      </c>
    </row>
    <row r="73" spans="1:28"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s="2">
        <v>3</v>
      </c>
      <c r="T73" s="2">
        <v>0</v>
      </c>
      <c r="U73" s="2">
        <v>8.7629999999999999</v>
      </c>
      <c r="V73" t="str">
        <f t="shared" si="5"/>
        <v>Valid</v>
      </c>
      <c r="W73" s="2">
        <v>267.07</v>
      </c>
      <c r="X73" s="2">
        <v>656.2656164</v>
      </c>
      <c r="Y73" s="2" t="str">
        <f t="shared" si="6"/>
        <v>Normal</v>
      </c>
      <c r="Z73">
        <f t="shared" si="7"/>
        <v>3</v>
      </c>
      <c r="AA73">
        <f t="shared" si="8"/>
        <v>0.45999999999999996</v>
      </c>
      <c r="AB73">
        <f t="shared" si="9"/>
        <v>19.05</v>
      </c>
    </row>
    <row r="74" spans="1:28"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s="2">
        <v>8</v>
      </c>
      <c r="T74" s="2">
        <v>0.2</v>
      </c>
      <c r="U74" s="2">
        <v>-114.3912</v>
      </c>
      <c r="V74" t="str">
        <f t="shared" si="5"/>
        <v>Valid</v>
      </c>
      <c r="W74" s="2">
        <v>267.07</v>
      </c>
      <c r="X74" s="2">
        <v>656.2656164</v>
      </c>
      <c r="Y74" s="2" t="str">
        <f t="shared" si="6"/>
        <v>Normal</v>
      </c>
      <c r="Z74">
        <f t="shared" si="7"/>
        <v>6</v>
      </c>
      <c r="AA74">
        <f t="shared" si="8"/>
        <v>-0.13749999999999998</v>
      </c>
      <c r="AB74">
        <f t="shared" si="9"/>
        <v>665.54880000000003</v>
      </c>
    </row>
    <row r="75" spans="1:28"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s="2">
        <v>2</v>
      </c>
      <c r="T75" s="2">
        <v>0.2</v>
      </c>
      <c r="U75" s="2">
        <v>1.2130000000000001</v>
      </c>
      <c r="V75" t="str">
        <f t="shared" si="5"/>
        <v>Valid</v>
      </c>
      <c r="W75" s="2">
        <v>267.07</v>
      </c>
      <c r="X75" s="2">
        <v>656.2656164</v>
      </c>
      <c r="Y75" s="2" t="str">
        <f t="shared" si="6"/>
        <v>Normal</v>
      </c>
      <c r="Z75">
        <f t="shared" si="7"/>
        <v>6</v>
      </c>
      <c r="AA75">
        <f t="shared" si="8"/>
        <v>1.2500000000000001E-2</v>
      </c>
      <c r="AB75">
        <f t="shared" si="9"/>
        <v>77.632000000000005</v>
      </c>
    </row>
    <row r="76" spans="1:28"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s="2">
        <v>1</v>
      </c>
      <c r="T76" s="2">
        <v>0.2</v>
      </c>
      <c r="U76" s="2">
        <v>-18.196000000000002</v>
      </c>
      <c r="V76" t="str">
        <f t="shared" si="5"/>
        <v>Valid</v>
      </c>
      <c r="W76" s="2">
        <v>267.07</v>
      </c>
      <c r="X76" s="2">
        <v>656.2656164</v>
      </c>
      <c r="Y76" s="2" t="str">
        <f t="shared" si="6"/>
        <v>Normal</v>
      </c>
      <c r="Z76">
        <f t="shared" si="7"/>
        <v>6</v>
      </c>
      <c r="AA76">
        <f t="shared" si="8"/>
        <v>-0.25</v>
      </c>
      <c r="AB76">
        <f t="shared" si="9"/>
        <v>58.227200000000011</v>
      </c>
    </row>
    <row r="77" spans="1:28"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s="2">
        <v>3</v>
      </c>
      <c r="T77" s="2">
        <v>0.8</v>
      </c>
      <c r="U77" s="2">
        <v>-1.9343999999999999</v>
      </c>
      <c r="V77" t="str">
        <f t="shared" si="5"/>
        <v>Valid</v>
      </c>
      <c r="W77" s="2">
        <v>267.07</v>
      </c>
      <c r="X77" s="2">
        <v>656.2656164</v>
      </c>
      <c r="Y77" s="2" t="str">
        <f t="shared" si="6"/>
        <v>Normal</v>
      </c>
      <c r="Z77">
        <f t="shared" si="7"/>
        <v>2</v>
      </c>
      <c r="AA77">
        <f t="shared" si="8"/>
        <v>-1.5499999999999998</v>
      </c>
      <c r="AB77">
        <f t="shared" si="9"/>
        <v>0.24959999999999993</v>
      </c>
    </row>
    <row r="78" spans="1:28"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s="2">
        <v>3</v>
      </c>
      <c r="T78" s="2">
        <v>0.6</v>
      </c>
      <c r="U78" s="2">
        <v>-5.8247999999999998</v>
      </c>
      <c r="V78" t="str">
        <f t="shared" si="5"/>
        <v>Valid</v>
      </c>
      <c r="W78" s="2">
        <v>267.07</v>
      </c>
      <c r="X78" s="2">
        <v>656.2656164</v>
      </c>
      <c r="Y78" s="2" t="str">
        <f t="shared" si="6"/>
        <v>Normal</v>
      </c>
      <c r="Z78">
        <f t="shared" si="7"/>
        <v>2</v>
      </c>
      <c r="AA78">
        <f t="shared" si="8"/>
        <v>-0.6</v>
      </c>
      <c r="AB78">
        <f t="shared" si="9"/>
        <v>3.8832000000000004</v>
      </c>
    </row>
    <row r="79" spans="1:28"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s="2">
        <v>3</v>
      </c>
      <c r="T79" s="2">
        <v>0.2</v>
      </c>
      <c r="U79" s="2">
        <v>2.7240000000000002</v>
      </c>
      <c r="V79" t="str">
        <f t="shared" si="5"/>
        <v>Valid</v>
      </c>
      <c r="W79" s="2">
        <v>267.07</v>
      </c>
      <c r="X79" s="2">
        <v>656.2656164</v>
      </c>
      <c r="Y79" s="2" t="str">
        <f t="shared" si="6"/>
        <v>Normal</v>
      </c>
      <c r="Z79">
        <f t="shared" si="7"/>
        <v>2</v>
      </c>
      <c r="AA79">
        <f t="shared" si="8"/>
        <v>0.10000000000000002</v>
      </c>
      <c r="AB79">
        <f t="shared" si="9"/>
        <v>21.792000000000002</v>
      </c>
    </row>
    <row r="80" spans="1:28"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s="2">
        <v>5</v>
      </c>
      <c r="T80" s="2">
        <v>0.6</v>
      </c>
      <c r="U80" s="2">
        <v>-14.475</v>
      </c>
      <c r="V80" t="str">
        <f t="shared" si="5"/>
        <v>Valid</v>
      </c>
      <c r="W80" s="2">
        <v>267.07</v>
      </c>
      <c r="X80" s="2">
        <v>656.2656164</v>
      </c>
      <c r="Y80" s="2" t="str">
        <f t="shared" si="6"/>
        <v>Normal</v>
      </c>
      <c r="Z80">
        <f t="shared" si="7"/>
        <v>5</v>
      </c>
      <c r="AA80">
        <f t="shared" si="8"/>
        <v>-0.75</v>
      </c>
      <c r="AB80">
        <f t="shared" si="9"/>
        <v>7.7200000000000006</v>
      </c>
    </row>
    <row r="81" spans="1:28"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s="2">
        <v>1</v>
      </c>
      <c r="T81" s="2">
        <v>0</v>
      </c>
      <c r="U81" s="2">
        <v>56.203200000000002</v>
      </c>
      <c r="V81" t="str">
        <f t="shared" si="5"/>
        <v>Valid</v>
      </c>
      <c r="W81" s="2">
        <v>267.07</v>
      </c>
      <c r="X81" s="2">
        <v>656.2656164</v>
      </c>
      <c r="Y81" s="2" t="str">
        <f t="shared" si="6"/>
        <v>Normal</v>
      </c>
      <c r="Z81">
        <f t="shared" si="7"/>
        <v>3</v>
      </c>
      <c r="AA81">
        <f t="shared" si="8"/>
        <v>0.27</v>
      </c>
      <c r="AB81">
        <f t="shared" si="9"/>
        <v>208.16</v>
      </c>
    </row>
    <row r="82" spans="1:28"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s="2">
        <v>3</v>
      </c>
      <c r="T82" s="2">
        <v>0</v>
      </c>
      <c r="U82" s="2">
        <v>8.0351999999999997</v>
      </c>
      <c r="V82" t="str">
        <f t="shared" si="5"/>
        <v>Valid</v>
      </c>
      <c r="W82" s="2">
        <v>267.07</v>
      </c>
      <c r="X82" s="2">
        <v>656.2656164</v>
      </c>
      <c r="Y82" s="2" t="str">
        <f t="shared" si="6"/>
        <v>Normal</v>
      </c>
      <c r="Z82">
        <f t="shared" si="7"/>
        <v>3</v>
      </c>
      <c r="AA82">
        <f t="shared" si="8"/>
        <v>0.48000000000000004</v>
      </c>
      <c r="AB82">
        <f t="shared" si="9"/>
        <v>16.739999999999998</v>
      </c>
    </row>
    <row r="83" spans="1:28"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s="2">
        <v>5</v>
      </c>
      <c r="T83" s="2">
        <v>0</v>
      </c>
      <c r="U83" s="2">
        <v>4.1719999999999997</v>
      </c>
      <c r="V83" t="str">
        <f t="shared" si="5"/>
        <v>Valid</v>
      </c>
      <c r="W83" s="2">
        <v>267.07</v>
      </c>
      <c r="X83" s="2">
        <v>656.2656164</v>
      </c>
      <c r="Y83" s="2" t="str">
        <f t="shared" si="6"/>
        <v>Normal</v>
      </c>
      <c r="Z83">
        <f t="shared" si="7"/>
        <v>4</v>
      </c>
      <c r="AA83">
        <f t="shared" si="8"/>
        <v>0.27999999999999997</v>
      </c>
      <c r="AB83">
        <f t="shared" si="9"/>
        <v>14.9</v>
      </c>
    </row>
    <row r="84" spans="1:28"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s="2">
        <v>1</v>
      </c>
      <c r="T84" s="2">
        <v>0</v>
      </c>
      <c r="U84" s="2">
        <v>6.2031000000000001</v>
      </c>
      <c r="V84" t="str">
        <f t="shared" si="5"/>
        <v>Valid</v>
      </c>
      <c r="W84" s="2">
        <v>267.07</v>
      </c>
      <c r="X84" s="2">
        <v>656.2656164</v>
      </c>
      <c r="Y84" s="2" t="str">
        <f t="shared" si="6"/>
        <v>Normal</v>
      </c>
      <c r="Z84">
        <f t="shared" si="7"/>
        <v>4</v>
      </c>
      <c r="AA84">
        <f t="shared" si="8"/>
        <v>0.28999999999999998</v>
      </c>
      <c r="AB84">
        <f t="shared" si="9"/>
        <v>21.39</v>
      </c>
    </row>
    <row r="85" spans="1:28"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s="2">
        <v>7</v>
      </c>
      <c r="T85" s="2">
        <v>0.2</v>
      </c>
      <c r="U85" s="2">
        <v>62.807499999999997</v>
      </c>
      <c r="V85" t="str">
        <f t="shared" si="5"/>
        <v>Valid</v>
      </c>
      <c r="W85" s="2">
        <v>267.07</v>
      </c>
      <c r="X85" s="2">
        <v>656.2656164</v>
      </c>
      <c r="Y85" s="2" t="str">
        <f t="shared" si="6"/>
        <v>Normal</v>
      </c>
      <c r="Z85">
        <f t="shared" si="7"/>
        <v>5</v>
      </c>
      <c r="AA85">
        <f t="shared" si="8"/>
        <v>0.3125</v>
      </c>
      <c r="AB85">
        <f t="shared" si="9"/>
        <v>160.78720000000001</v>
      </c>
    </row>
    <row r="86" spans="1:28"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s="2">
        <v>3</v>
      </c>
      <c r="T86" s="2">
        <v>0.2</v>
      </c>
      <c r="U86" s="2">
        <v>-48.954900000000002</v>
      </c>
      <c r="V86" t="str">
        <f t="shared" si="5"/>
        <v>Valid</v>
      </c>
      <c r="W86" s="2">
        <v>267.07</v>
      </c>
      <c r="X86" s="2">
        <v>656.2656164</v>
      </c>
      <c r="Y86" s="2" t="str">
        <f t="shared" si="6"/>
        <v>Normal</v>
      </c>
      <c r="Z86">
        <f t="shared" si="7"/>
        <v>3</v>
      </c>
      <c r="AA86">
        <f t="shared" si="8"/>
        <v>-0.21249999999999999</v>
      </c>
      <c r="AB86">
        <f t="shared" si="9"/>
        <v>184.30080000000001</v>
      </c>
    </row>
    <row r="87" spans="1:28"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s="2">
        <v>2</v>
      </c>
      <c r="T87" s="2">
        <v>0</v>
      </c>
      <c r="U87" s="2">
        <v>33.215600000000002</v>
      </c>
      <c r="V87" t="str">
        <f t="shared" si="5"/>
        <v>Valid</v>
      </c>
      <c r="W87" s="2">
        <v>267.07</v>
      </c>
      <c r="X87" s="2">
        <v>656.2656164</v>
      </c>
      <c r="Y87" s="2" t="str">
        <f t="shared" si="6"/>
        <v>Normal</v>
      </c>
      <c r="Z87">
        <f t="shared" si="7"/>
        <v>2</v>
      </c>
      <c r="AA87">
        <f t="shared" si="8"/>
        <v>0.11000000000000001</v>
      </c>
      <c r="AB87">
        <f t="shared" si="9"/>
        <v>301.95999999999998</v>
      </c>
    </row>
    <row r="88" spans="1:28"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s="2">
        <v>1</v>
      </c>
      <c r="T88" s="2">
        <v>0</v>
      </c>
      <c r="U88" s="2">
        <v>6.7965999999999998</v>
      </c>
      <c r="V88" t="str">
        <f t="shared" si="5"/>
        <v>Valid</v>
      </c>
      <c r="W88" s="2">
        <v>267.07</v>
      </c>
      <c r="X88" s="2">
        <v>656.2656164</v>
      </c>
      <c r="Y88" s="2" t="str">
        <f t="shared" si="6"/>
        <v>Normal</v>
      </c>
      <c r="Z88">
        <f t="shared" si="7"/>
        <v>7</v>
      </c>
      <c r="AA88">
        <f t="shared" si="8"/>
        <v>0.34</v>
      </c>
      <c r="AB88">
        <f t="shared" si="9"/>
        <v>19.989999999999998</v>
      </c>
    </row>
    <row r="89" spans="1:28"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s="2">
        <v>2</v>
      </c>
      <c r="T89" s="2">
        <v>0</v>
      </c>
      <c r="U89" s="2">
        <v>2.9567999999999999</v>
      </c>
      <c r="V89" t="str">
        <f t="shared" si="5"/>
        <v>Valid</v>
      </c>
      <c r="W89" s="2">
        <v>267.07</v>
      </c>
      <c r="X89" s="2">
        <v>656.2656164</v>
      </c>
      <c r="Y89" s="2" t="str">
        <f t="shared" si="6"/>
        <v>Normal</v>
      </c>
      <c r="Z89">
        <f t="shared" si="7"/>
        <v>7</v>
      </c>
      <c r="AA89">
        <f t="shared" si="8"/>
        <v>0.48</v>
      </c>
      <c r="AB89">
        <f t="shared" si="9"/>
        <v>6.16</v>
      </c>
    </row>
    <row r="90" spans="1:28"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s="2">
        <v>7</v>
      </c>
      <c r="T90" s="2">
        <v>0.2</v>
      </c>
      <c r="U90" s="2">
        <v>13.857200000000001</v>
      </c>
      <c r="V90" t="str">
        <f t="shared" si="5"/>
        <v>Valid</v>
      </c>
      <c r="W90" s="2">
        <v>267.07</v>
      </c>
      <c r="X90" s="2">
        <v>656.2656164</v>
      </c>
      <c r="Y90" s="2" t="str">
        <f t="shared" si="6"/>
        <v>Normal</v>
      </c>
      <c r="Z90">
        <f t="shared" si="7"/>
        <v>5</v>
      </c>
      <c r="AA90">
        <f t="shared" si="8"/>
        <v>8.7500000000000008E-2</v>
      </c>
      <c r="AB90">
        <f t="shared" si="9"/>
        <v>126.6944</v>
      </c>
    </row>
    <row r="91" spans="1:28"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s="2">
        <v>3</v>
      </c>
      <c r="T91" s="2">
        <v>0</v>
      </c>
      <c r="U91" s="2">
        <v>6.633</v>
      </c>
      <c r="V91" t="str">
        <f t="shared" si="5"/>
        <v>Valid</v>
      </c>
      <c r="W91" s="2">
        <v>267.07</v>
      </c>
      <c r="X91" s="2">
        <v>656.2656164</v>
      </c>
      <c r="Y91" s="2" t="str">
        <f t="shared" si="6"/>
        <v>Normal</v>
      </c>
      <c r="Z91">
        <f t="shared" si="7"/>
        <v>5</v>
      </c>
      <c r="AA91">
        <f t="shared" si="8"/>
        <v>0.32999999999999996</v>
      </c>
      <c r="AB91">
        <f t="shared" si="9"/>
        <v>20.100000000000001</v>
      </c>
    </row>
    <row r="92" spans="1:28"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s="2">
        <v>2</v>
      </c>
      <c r="T92" s="2">
        <v>0.2</v>
      </c>
      <c r="U92" s="2">
        <v>8.2782</v>
      </c>
      <c r="V92" t="str">
        <f t="shared" si="5"/>
        <v>Valid</v>
      </c>
      <c r="W92" s="2">
        <v>267.07</v>
      </c>
      <c r="X92" s="2">
        <v>656.2656164</v>
      </c>
      <c r="Y92" s="2" t="str">
        <f t="shared" si="6"/>
        <v>Normal</v>
      </c>
      <c r="Z92">
        <f t="shared" si="7"/>
        <v>5</v>
      </c>
      <c r="AA92">
        <f t="shared" si="8"/>
        <v>0.11249999999999999</v>
      </c>
      <c r="AB92">
        <f t="shared" si="9"/>
        <v>58.867200000000004</v>
      </c>
    </row>
    <row r="93" spans="1:28"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s="2">
        <v>1</v>
      </c>
      <c r="T93" s="2">
        <v>0</v>
      </c>
      <c r="U93" s="2">
        <v>3.1103999999999998</v>
      </c>
      <c r="V93" t="str">
        <f t="shared" si="5"/>
        <v>Valid</v>
      </c>
      <c r="W93" s="2">
        <v>267.07</v>
      </c>
      <c r="X93" s="2">
        <v>656.2656164</v>
      </c>
      <c r="Y93" s="2" t="str">
        <f t="shared" si="6"/>
        <v>Normal</v>
      </c>
      <c r="Z93">
        <f t="shared" si="7"/>
        <v>5</v>
      </c>
      <c r="AA93">
        <f t="shared" si="8"/>
        <v>0.47999999999999993</v>
      </c>
      <c r="AB93">
        <f t="shared" si="9"/>
        <v>6.48</v>
      </c>
    </row>
    <row r="94" spans="1:28"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s="2">
        <v>2</v>
      </c>
      <c r="T94" s="2">
        <v>0</v>
      </c>
      <c r="U94" s="2">
        <v>6.2207999999999997</v>
      </c>
      <c r="V94" t="str">
        <f t="shared" si="5"/>
        <v>Valid</v>
      </c>
      <c r="W94" s="2">
        <v>267.07</v>
      </c>
      <c r="X94" s="2">
        <v>656.2656164</v>
      </c>
      <c r="Y94" s="2" t="str">
        <f t="shared" si="6"/>
        <v>Normal</v>
      </c>
      <c r="Z94">
        <f t="shared" si="7"/>
        <v>5</v>
      </c>
      <c r="AA94">
        <f t="shared" si="8"/>
        <v>0.47999999999999993</v>
      </c>
      <c r="AB94">
        <f t="shared" si="9"/>
        <v>12.96</v>
      </c>
    </row>
    <row r="95" spans="1:28"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s="2">
        <v>3</v>
      </c>
      <c r="T95" s="2">
        <v>0</v>
      </c>
      <c r="U95" s="2">
        <v>16.535399999999999</v>
      </c>
      <c r="V95" t="str">
        <f t="shared" si="5"/>
        <v>Valid</v>
      </c>
      <c r="W95" s="2">
        <v>267.07</v>
      </c>
      <c r="X95" s="2">
        <v>656.2656164</v>
      </c>
      <c r="Y95" s="2" t="str">
        <f t="shared" si="6"/>
        <v>Normal</v>
      </c>
      <c r="Z95">
        <f t="shared" si="7"/>
        <v>5</v>
      </c>
      <c r="AA95">
        <f t="shared" si="8"/>
        <v>0.30999999999999994</v>
      </c>
      <c r="AB95">
        <f t="shared" si="9"/>
        <v>53.34</v>
      </c>
    </row>
    <row r="96" spans="1:28"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s="2">
        <v>2</v>
      </c>
      <c r="T96" s="2">
        <v>0</v>
      </c>
      <c r="U96" s="2">
        <v>16.150400000000001</v>
      </c>
      <c r="V96" t="str">
        <f t="shared" si="5"/>
        <v>Valid</v>
      </c>
      <c r="W96" s="2">
        <v>267.07</v>
      </c>
      <c r="X96" s="2">
        <v>656.2656164</v>
      </c>
      <c r="Y96" s="2" t="str">
        <f t="shared" si="6"/>
        <v>Normal</v>
      </c>
      <c r="Z96">
        <f t="shared" si="7"/>
        <v>5</v>
      </c>
      <c r="AA96">
        <f t="shared" si="8"/>
        <v>0.49000000000000005</v>
      </c>
      <c r="AB96">
        <f t="shared" si="9"/>
        <v>32.96</v>
      </c>
    </row>
    <row r="97" spans="1:28"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s="2">
        <v>1</v>
      </c>
      <c r="T97" s="2">
        <v>0.7</v>
      </c>
      <c r="U97" s="2">
        <v>-3.7879999999999998</v>
      </c>
      <c r="V97" t="str">
        <f t="shared" si="5"/>
        <v>Valid</v>
      </c>
      <c r="W97" s="2">
        <v>267.07</v>
      </c>
      <c r="X97" s="2">
        <v>656.2656164</v>
      </c>
      <c r="Y97" s="2" t="str">
        <f t="shared" si="6"/>
        <v>Normal</v>
      </c>
      <c r="Z97">
        <f t="shared" si="7"/>
        <v>6</v>
      </c>
      <c r="AA97">
        <f t="shared" si="8"/>
        <v>-0.66666666666666663</v>
      </c>
      <c r="AB97">
        <f t="shared" si="9"/>
        <v>1.7046000000000003</v>
      </c>
    </row>
    <row r="98" spans="1:28"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s="2">
        <v>7</v>
      </c>
      <c r="T98" s="2">
        <v>0</v>
      </c>
      <c r="U98" s="2">
        <v>40.5426</v>
      </c>
      <c r="V98" t="str">
        <f t="shared" si="5"/>
        <v>Valid</v>
      </c>
      <c r="W98" s="2">
        <v>267.07</v>
      </c>
      <c r="X98" s="2">
        <v>656.2656164</v>
      </c>
      <c r="Y98" s="2" t="str">
        <f t="shared" si="6"/>
        <v>Normal</v>
      </c>
      <c r="Z98">
        <f t="shared" si="7"/>
        <v>2</v>
      </c>
      <c r="AA98">
        <f t="shared" si="8"/>
        <v>0.42</v>
      </c>
      <c r="AB98">
        <f t="shared" si="9"/>
        <v>96.53</v>
      </c>
    </row>
    <row r="99" spans="1:28"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s="2">
        <v>3</v>
      </c>
      <c r="T99" s="2">
        <v>0.2</v>
      </c>
      <c r="U99" s="2">
        <v>17.959199999999999</v>
      </c>
      <c r="V99" t="str">
        <f t="shared" si="5"/>
        <v>Valid</v>
      </c>
      <c r="W99" s="2">
        <v>267.07</v>
      </c>
      <c r="X99" s="2">
        <v>656.2656164</v>
      </c>
      <c r="Y99" s="2" t="str">
        <f t="shared" si="6"/>
        <v>Normal</v>
      </c>
      <c r="Z99">
        <f t="shared" si="7"/>
        <v>3</v>
      </c>
      <c r="AA99">
        <f t="shared" si="8"/>
        <v>0.35</v>
      </c>
      <c r="AB99">
        <f t="shared" si="9"/>
        <v>41.049599999999998</v>
      </c>
    </row>
    <row r="100" spans="1:28"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s="2">
        <v>6</v>
      </c>
      <c r="T100" s="2">
        <v>0</v>
      </c>
      <c r="U100" s="2">
        <v>22.5852</v>
      </c>
      <c r="V100" t="str">
        <f t="shared" si="5"/>
        <v>Valid</v>
      </c>
      <c r="W100" s="2">
        <v>267.07</v>
      </c>
      <c r="X100" s="2">
        <v>656.2656164</v>
      </c>
      <c r="Y100" s="2" t="str">
        <f t="shared" si="6"/>
        <v>Normal</v>
      </c>
      <c r="Z100">
        <f t="shared" si="7"/>
        <v>5</v>
      </c>
      <c r="AA100">
        <f t="shared" si="8"/>
        <v>0.29000000000000004</v>
      </c>
      <c r="AB100">
        <f t="shared" si="9"/>
        <v>77.88</v>
      </c>
    </row>
    <row r="101" spans="1:28"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2">
        <v>7</v>
      </c>
      <c r="T101" s="2">
        <v>0.2</v>
      </c>
      <c r="U101" s="2">
        <v>22.618400000000001</v>
      </c>
      <c r="V101" t="str">
        <f t="shared" si="5"/>
        <v>Valid</v>
      </c>
      <c r="W101" s="2">
        <v>267.07</v>
      </c>
      <c r="X101" s="2">
        <v>656.2656164</v>
      </c>
      <c r="Y101" s="2" t="str">
        <f t="shared" si="6"/>
        <v>Normal</v>
      </c>
      <c r="Z101">
        <f t="shared" si="7"/>
        <v>4</v>
      </c>
      <c r="AA101">
        <f t="shared" si="8"/>
        <v>0.35000000000000003</v>
      </c>
      <c r="AB101">
        <f t="shared" si="9"/>
        <v>51.699199999999998</v>
      </c>
    </row>
    <row r="102" spans="1:28"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2">
        <v>3</v>
      </c>
      <c r="T102" s="2">
        <v>0.2</v>
      </c>
      <c r="U102" s="2">
        <v>-10.7973</v>
      </c>
      <c r="V102" t="str">
        <f t="shared" si="5"/>
        <v>Valid</v>
      </c>
      <c r="W102" s="2">
        <v>267.07</v>
      </c>
      <c r="X102" s="2">
        <v>656.2656164</v>
      </c>
      <c r="Y102" s="2" t="str">
        <f t="shared" si="6"/>
        <v>Normal</v>
      </c>
      <c r="Z102">
        <f t="shared" si="7"/>
        <v>4</v>
      </c>
      <c r="AA102">
        <f t="shared" si="8"/>
        <v>-0.1125</v>
      </c>
      <c r="AB102">
        <f t="shared" si="9"/>
        <v>76.780799999999999</v>
      </c>
    </row>
    <row r="103" spans="1:28"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s="2">
        <v>3</v>
      </c>
      <c r="T103" s="2">
        <v>0.8</v>
      </c>
      <c r="U103" s="2">
        <v>-3.0396000000000001</v>
      </c>
      <c r="V103" t="str">
        <f t="shared" si="5"/>
        <v>Valid</v>
      </c>
      <c r="W103" s="2">
        <v>267.07</v>
      </c>
      <c r="X103" s="2">
        <v>656.2656164</v>
      </c>
      <c r="Y103" s="2" t="str">
        <f t="shared" si="6"/>
        <v>Normal</v>
      </c>
      <c r="Z103">
        <f t="shared" si="7"/>
        <v>4</v>
      </c>
      <c r="AA103">
        <f t="shared" si="8"/>
        <v>-1.7</v>
      </c>
      <c r="AB103">
        <f t="shared" si="9"/>
        <v>0.35759999999999992</v>
      </c>
    </row>
    <row r="104" spans="1:28"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s="2">
        <v>4</v>
      </c>
      <c r="T104" s="2">
        <v>0</v>
      </c>
      <c r="U104" s="2">
        <v>11.720800000000001</v>
      </c>
      <c r="V104" t="str">
        <f t="shared" si="5"/>
        <v>Valid</v>
      </c>
      <c r="W104" s="2">
        <v>267.07</v>
      </c>
      <c r="X104" s="2">
        <v>656.2656164</v>
      </c>
      <c r="Y104" s="2" t="str">
        <f t="shared" si="6"/>
        <v>Normal</v>
      </c>
      <c r="Z104">
        <f t="shared" si="7"/>
        <v>3</v>
      </c>
      <c r="AA104">
        <f t="shared" si="8"/>
        <v>0.49</v>
      </c>
      <c r="AB104">
        <f t="shared" si="9"/>
        <v>23.92</v>
      </c>
    </row>
    <row r="105" spans="1:28"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2">
        <v>6</v>
      </c>
      <c r="T105" s="2">
        <v>0.2</v>
      </c>
      <c r="U105" s="2">
        <v>-26.875800000000002</v>
      </c>
      <c r="V105" t="str">
        <f t="shared" si="5"/>
        <v>Valid</v>
      </c>
      <c r="W105" s="2">
        <v>267.07</v>
      </c>
      <c r="X105" s="2">
        <v>656.2656164</v>
      </c>
      <c r="Y105" s="2" t="str">
        <f t="shared" si="6"/>
        <v>Normal</v>
      </c>
      <c r="Z105">
        <f t="shared" si="7"/>
        <v>4</v>
      </c>
      <c r="AA105">
        <f t="shared" si="8"/>
        <v>-0.11250000000000002</v>
      </c>
      <c r="AB105">
        <f t="shared" si="9"/>
        <v>191.11680000000001</v>
      </c>
    </row>
    <row r="106" spans="1:28"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s="2">
        <v>3</v>
      </c>
      <c r="T106" s="2">
        <v>0.2</v>
      </c>
      <c r="U106" s="2">
        <v>-3.8384999999999998</v>
      </c>
      <c r="V106" t="str">
        <f t="shared" si="5"/>
        <v>Valid</v>
      </c>
      <c r="W106" s="2">
        <v>267.07</v>
      </c>
      <c r="X106" s="2">
        <v>656.2656164</v>
      </c>
      <c r="Y106" s="2" t="str">
        <f t="shared" si="6"/>
        <v>Normal</v>
      </c>
      <c r="Z106">
        <f t="shared" si="7"/>
        <v>4</v>
      </c>
      <c r="AA106">
        <f t="shared" si="8"/>
        <v>-3.7499999999999999E-2</v>
      </c>
      <c r="AB106">
        <f t="shared" si="9"/>
        <v>81.888000000000005</v>
      </c>
    </row>
    <row r="107" spans="1:28"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2">
        <v>3</v>
      </c>
      <c r="T107" s="2">
        <v>0.7</v>
      </c>
      <c r="U107" s="2">
        <v>-25.817399999999999</v>
      </c>
      <c r="V107" t="str">
        <f t="shared" si="5"/>
        <v>Valid</v>
      </c>
      <c r="W107" s="2">
        <v>267.07</v>
      </c>
      <c r="X107" s="2">
        <v>656.2656164</v>
      </c>
      <c r="Y107" s="2" t="str">
        <f t="shared" si="6"/>
        <v>Normal</v>
      </c>
      <c r="Z107">
        <f t="shared" si="7"/>
        <v>4</v>
      </c>
      <c r="AA107">
        <f t="shared" si="8"/>
        <v>-0.70000000000000007</v>
      </c>
      <c r="AB107">
        <f t="shared" si="9"/>
        <v>11.0646</v>
      </c>
    </row>
    <row r="108" spans="1:28"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2">
        <v>8</v>
      </c>
      <c r="T108" s="2">
        <v>0.2</v>
      </c>
      <c r="U108" s="2">
        <v>17.601600000000001</v>
      </c>
      <c r="V108" t="str">
        <f t="shared" si="5"/>
        <v>Valid</v>
      </c>
      <c r="W108" s="2">
        <v>267.07</v>
      </c>
      <c r="X108" s="2">
        <v>656.2656164</v>
      </c>
      <c r="Y108" s="2" t="str">
        <f t="shared" si="6"/>
        <v>Normal</v>
      </c>
      <c r="Z108">
        <f t="shared" si="7"/>
        <v>5</v>
      </c>
      <c r="AA108">
        <f t="shared" si="8"/>
        <v>0.23750000000000004</v>
      </c>
      <c r="AB108">
        <f t="shared" si="9"/>
        <v>59.2896</v>
      </c>
    </row>
    <row r="109" spans="1:28"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2">
        <v>1</v>
      </c>
      <c r="T109" s="2">
        <v>0.2</v>
      </c>
      <c r="U109" s="2">
        <v>2.0994000000000002</v>
      </c>
      <c r="V109" t="str">
        <f t="shared" si="5"/>
        <v>Valid</v>
      </c>
      <c r="W109" s="2">
        <v>267.07</v>
      </c>
      <c r="X109" s="2">
        <v>656.2656164</v>
      </c>
      <c r="Y109" s="2" t="str">
        <f t="shared" si="6"/>
        <v>Normal</v>
      </c>
      <c r="Z109">
        <f t="shared" si="7"/>
        <v>5</v>
      </c>
      <c r="AA109">
        <f t="shared" si="8"/>
        <v>7.4999999999999997E-2</v>
      </c>
      <c r="AB109">
        <f t="shared" si="9"/>
        <v>22.393600000000003</v>
      </c>
    </row>
    <row r="110" spans="1:28"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2">
        <v>1</v>
      </c>
      <c r="T110" s="2">
        <v>0.2</v>
      </c>
      <c r="U110" s="2">
        <v>1.0738000000000001</v>
      </c>
      <c r="V110" t="str">
        <f t="shared" si="5"/>
        <v>Valid</v>
      </c>
      <c r="W110" s="2">
        <v>267.07</v>
      </c>
      <c r="X110" s="2">
        <v>656.2656164</v>
      </c>
      <c r="Y110" s="2" t="str">
        <f t="shared" si="6"/>
        <v>Normal</v>
      </c>
      <c r="Z110">
        <f t="shared" si="7"/>
        <v>5</v>
      </c>
      <c r="AA110">
        <f t="shared" si="8"/>
        <v>0.32500000000000007</v>
      </c>
      <c r="AB110">
        <f t="shared" si="9"/>
        <v>2.6432000000000002</v>
      </c>
    </row>
    <row r="111" spans="1:28"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s="2">
        <v>5</v>
      </c>
      <c r="T111" s="2">
        <v>0.2</v>
      </c>
      <c r="U111" s="2">
        <v>67.992000000000004</v>
      </c>
      <c r="V111" t="str">
        <f t="shared" si="5"/>
        <v>Valid</v>
      </c>
      <c r="W111" s="2">
        <v>267.07</v>
      </c>
      <c r="X111" s="2">
        <v>656.2656164</v>
      </c>
      <c r="Y111" s="2" t="str">
        <f t="shared" si="6"/>
        <v>Normal</v>
      </c>
      <c r="Z111">
        <f t="shared" si="7"/>
        <v>5</v>
      </c>
      <c r="AA111">
        <f t="shared" si="8"/>
        <v>0.20000000000000004</v>
      </c>
      <c r="AB111">
        <f t="shared" si="9"/>
        <v>271.96800000000002</v>
      </c>
    </row>
    <row r="112" spans="1:28"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s="2">
        <v>2</v>
      </c>
      <c r="T112" s="2">
        <v>0</v>
      </c>
      <c r="U112" s="2">
        <v>10.909599999999999</v>
      </c>
      <c r="V112" t="str">
        <f t="shared" si="5"/>
        <v>Valid</v>
      </c>
      <c r="W112" s="2">
        <v>267.07</v>
      </c>
      <c r="X112" s="2">
        <v>656.2656164</v>
      </c>
      <c r="Y112" s="2" t="str">
        <f t="shared" si="6"/>
        <v>Normal</v>
      </c>
      <c r="Z112">
        <f t="shared" si="7"/>
        <v>5</v>
      </c>
      <c r="AA112">
        <f t="shared" si="8"/>
        <v>0.25999999999999995</v>
      </c>
      <c r="AB112">
        <f t="shared" si="9"/>
        <v>41.96</v>
      </c>
    </row>
    <row r="113" spans="1:28"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2">
        <v>2</v>
      </c>
      <c r="T113" s="2">
        <v>0</v>
      </c>
      <c r="U113" s="2">
        <v>22.788</v>
      </c>
      <c r="V113" t="str">
        <f t="shared" si="5"/>
        <v>Valid</v>
      </c>
      <c r="W113" s="2">
        <v>267.07</v>
      </c>
      <c r="X113" s="2">
        <v>656.2656164</v>
      </c>
      <c r="Y113" s="2" t="str">
        <f t="shared" si="6"/>
        <v>Normal</v>
      </c>
      <c r="Z113">
        <f t="shared" si="7"/>
        <v>7</v>
      </c>
      <c r="AA113">
        <f t="shared" si="8"/>
        <v>0.30000000000000004</v>
      </c>
      <c r="AB113">
        <f t="shared" si="9"/>
        <v>75.959999999999994</v>
      </c>
    </row>
    <row r="114" spans="1:28"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s="2">
        <v>6</v>
      </c>
      <c r="T114" s="2">
        <v>0</v>
      </c>
      <c r="U114" s="2">
        <v>13.3476</v>
      </c>
      <c r="V114" t="str">
        <f t="shared" si="5"/>
        <v>Valid</v>
      </c>
      <c r="W114" s="2">
        <v>267.07</v>
      </c>
      <c r="X114" s="2">
        <v>656.2656164</v>
      </c>
      <c r="Y114" s="2" t="str">
        <f t="shared" si="6"/>
        <v>Normal</v>
      </c>
      <c r="Z114">
        <f t="shared" si="7"/>
        <v>7</v>
      </c>
      <c r="AA114">
        <f t="shared" si="8"/>
        <v>0.49000000000000005</v>
      </c>
      <c r="AB114">
        <f t="shared" si="9"/>
        <v>27.24</v>
      </c>
    </row>
    <row r="115" spans="1:28"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2">
        <v>14</v>
      </c>
      <c r="T115" s="2">
        <v>0.2</v>
      </c>
      <c r="U115" s="2">
        <v>14.534800000000001</v>
      </c>
      <c r="V115" t="str">
        <f t="shared" si="5"/>
        <v>Valid</v>
      </c>
      <c r="W115" s="2">
        <v>267.07</v>
      </c>
      <c r="X115" s="2">
        <v>656.2656164</v>
      </c>
      <c r="Y115" s="2" t="str">
        <f t="shared" si="6"/>
        <v>Normal</v>
      </c>
      <c r="Z115">
        <f t="shared" si="7"/>
        <v>2</v>
      </c>
      <c r="AA115">
        <f t="shared" si="8"/>
        <v>0.36250000000000004</v>
      </c>
      <c r="AB115">
        <f t="shared" si="9"/>
        <v>32.076799999999999</v>
      </c>
    </row>
    <row r="116" spans="1:28"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s="2">
        <v>2</v>
      </c>
      <c r="T116" s="2">
        <v>0.2</v>
      </c>
      <c r="U116" s="2">
        <v>1.6519999999999999</v>
      </c>
      <c r="V116" t="str">
        <f t="shared" si="5"/>
        <v>Valid</v>
      </c>
      <c r="W116" s="2">
        <v>267.07</v>
      </c>
      <c r="X116" s="2">
        <v>656.2656164</v>
      </c>
      <c r="Y116" s="2" t="str">
        <f t="shared" si="6"/>
        <v>Normal</v>
      </c>
      <c r="Z116">
        <f t="shared" si="7"/>
        <v>2</v>
      </c>
      <c r="AA116">
        <f t="shared" si="8"/>
        <v>0.35</v>
      </c>
      <c r="AB116">
        <f t="shared" si="9"/>
        <v>3.7759999999999998</v>
      </c>
    </row>
    <row r="117" spans="1:28"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2">
        <v>3</v>
      </c>
      <c r="T117" s="2">
        <v>0.2</v>
      </c>
      <c r="U117" s="2">
        <v>7.4924999999999997</v>
      </c>
      <c r="V117" t="str">
        <f t="shared" si="5"/>
        <v>Valid</v>
      </c>
      <c r="W117" s="2">
        <v>267.07</v>
      </c>
      <c r="X117" s="2">
        <v>656.2656164</v>
      </c>
      <c r="Y117" s="2" t="str">
        <f t="shared" si="6"/>
        <v>Normal</v>
      </c>
      <c r="Z117">
        <f t="shared" si="7"/>
        <v>2</v>
      </c>
      <c r="AA117">
        <f t="shared" si="8"/>
        <v>0.3125</v>
      </c>
      <c r="AB117">
        <f t="shared" si="9"/>
        <v>19.180800000000001</v>
      </c>
    </row>
    <row r="118" spans="1:28"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s="2">
        <v>6</v>
      </c>
      <c r="T118" s="2">
        <v>0.2</v>
      </c>
      <c r="U118" s="2">
        <v>44.031599999999997</v>
      </c>
      <c r="V118" t="str">
        <f t="shared" si="5"/>
        <v>Valid</v>
      </c>
      <c r="W118" s="2">
        <v>267.07</v>
      </c>
      <c r="X118" s="2">
        <v>656.2656164</v>
      </c>
      <c r="Y118" s="2" t="str">
        <f t="shared" si="6"/>
        <v>Normal</v>
      </c>
      <c r="Z118">
        <f t="shared" si="7"/>
        <v>2</v>
      </c>
      <c r="AA118">
        <f t="shared" si="8"/>
        <v>0.33749999999999997</v>
      </c>
      <c r="AB118">
        <f t="shared" si="9"/>
        <v>104.3712</v>
      </c>
    </row>
    <row r="119" spans="1:28"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s="2">
        <v>3</v>
      </c>
      <c r="T119" s="2">
        <v>0</v>
      </c>
      <c r="U119" s="2">
        <v>165.38130000000001</v>
      </c>
      <c r="V119" t="str">
        <f t="shared" si="5"/>
        <v>Valid</v>
      </c>
      <c r="W119" s="2">
        <v>267.07</v>
      </c>
      <c r="X119" s="2">
        <v>656.2656164</v>
      </c>
      <c r="Y119" s="2" t="str">
        <f t="shared" si="6"/>
        <v>Normal</v>
      </c>
      <c r="Z119">
        <f t="shared" si="7"/>
        <v>4</v>
      </c>
      <c r="AA119">
        <f t="shared" si="8"/>
        <v>0.21000000000000002</v>
      </c>
      <c r="AB119">
        <f t="shared" si="9"/>
        <v>787.53</v>
      </c>
    </row>
    <row r="120" spans="1:28"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2">
        <v>1</v>
      </c>
      <c r="T120" s="2">
        <v>0.7</v>
      </c>
      <c r="U120" s="2">
        <v>-115.71559999999999</v>
      </c>
      <c r="V120" t="str">
        <f t="shared" si="5"/>
        <v>Valid</v>
      </c>
      <c r="W120" s="2">
        <v>267.07</v>
      </c>
      <c r="X120" s="2">
        <v>656.2656164</v>
      </c>
      <c r="Y120" s="2" t="str">
        <f t="shared" si="6"/>
        <v>Normal</v>
      </c>
      <c r="Z120">
        <f t="shared" si="7"/>
        <v>5</v>
      </c>
      <c r="AA120">
        <f t="shared" si="8"/>
        <v>-0.73333333333333328</v>
      </c>
      <c r="AB120">
        <f t="shared" si="9"/>
        <v>47.338200000000008</v>
      </c>
    </row>
    <row r="121" spans="1:28"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s="2">
        <v>3</v>
      </c>
      <c r="T121" s="2">
        <v>0</v>
      </c>
      <c r="U121" s="2">
        <v>18.345600000000001</v>
      </c>
      <c r="V121" t="str">
        <f t="shared" si="5"/>
        <v>Valid</v>
      </c>
      <c r="W121" s="2">
        <v>267.07</v>
      </c>
      <c r="X121" s="2">
        <v>656.2656164</v>
      </c>
      <c r="Y121" s="2" t="str">
        <f t="shared" si="6"/>
        <v>Normal</v>
      </c>
      <c r="Z121">
        <f t="shared" si="7"/>
        <v>3</v>
      </c>
      <c r="AA121">
        <f t="shared" si="8"/>
        <v>0.39</v>
      </c>
      <c r="AB121">
        <f t="shared" si="9"/>
        <v>47.04</v>
      </c>
    </row>
    <row r="122" spans="1:28"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s="2">
        <v>4</v>
      </c>
      <c r="T122" s="2">
        <v>0</v>
      </c>
      <c r="U122" s="2">
        <v>13.878</v>
      </c>
      <c r="V122" t="str">
        <f t="shared" si="5"/>
        <v>Valid</v>
      </c>
      <c r="W122" s="2">
        <v>267.07</v>
      </c>
      <c r="X122" s="2">
        <v>656.2656164</v>
      </c>
      <c r="Y122" s="2" t="str">
        <f t="shared" si="6"/>
        <v>Normal</v>
      </c>
      <c r="Z122">
        <f t="shared" si="7"/>
        <v>3</v>
      </c>
      <c r="AA122">
        <f t="shared" si="8"/>
        <v>0.45</v>
      </c>
      <c r="AB122">
        <f t="shared" si="9"/>
        <v>30.84</v>
      </c>
    </row>
    <row r="123" spans="1:28"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s="2">
        <v>6</v>
      </c>
      <c r="T123" s="2">
        <v>0</v>
      </c>
      <c r="U123" s="2">
        <v>63.436799999999998</v>
      </c>
      <c r="V123" t="str">
        <f t="shared" si="5"/>
        <v>Valid</v>
      </c>
      <c r="W123" s="2">
        <v>267.07</v>
      </c>
      <c r="X123" s="2">
        <v>656.2656164</v>
      </c>
      <c r="Y123" s="2" t="str">
        <f t="shared" si="6"/>
        <v>Normal</v>
      </c>
      <c r="Z123">
        <f t="shared" si="7"/>
        <v>3</v>
      </c>
      <c r="AA123">
        <f t="shared" si="8"/>
        <v>0.27999999999999997</v>
      </c>
      <c r="AB123">
        <f t="shared" si="9"/>
        <v>226.56</v>
      </c>
    </row>
    <row r="124" spans="1:28"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s="2">
        <v>9</v>
      </c>
      <c r="T124" s="2">
        <v>0</v>
      </c>
      <c r="U124" s="2">
        <v>51.759</v>
      </c>
      <c r="V124" t="str">
        <f t="shared" si="5"/>
        <v>Valid</v>
      </c>
      <c r="W124" s="2">
        <v>267.07</v>
      </c>
      <c r="X124" s="2">
        <v>656.2656164</v>
      </c>
      <c r="Y124" s="2" t="str">
        <f t="shared" si="6"/>
        <v>Normal</v>
      </c>
      <c r="Z124">
        <f t="shared" si="7"/>
        <v>3</v>
      </c>
      <c r="AA124">
        <f t="shared" si="8"/>
        <v>0.45</v>
      </c>
      <c r="AB124">
        <f t="shared" si="9"/>
        <v>115.02</v>
      </c>
    </row>
    <row r="125" spans="1:28"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2">
        <v>7</v>
      </c>
      <c r="T125" s="2">
        <v>0</v>
      </c>
      <c r="U125" s="2">
        <v>19.7316</v>
      </c>
      <c r="V125" t="str">
        <f t="shared" si="5"/>
        <v>Valid</v>
      </c>
      <c r="W125" s="2">
        <v>267.07</v>
      </c>
      <c r="X125" s="2">
        <v>656.2656164</v>
      </c>
      <c r="Y125" s="2" t="str">
        <f t="shared" si="6"/>
        <v>Normal</v>
      </c>
      <c r="Z125">
        <f t="shared" si="7"/>
        <v>3</v>
      </c>
      <c r="AA125">
        <f t="shared" si="8"/>
        <v>0.28999999999999998</v>
      </c>
      <c r="AB125">
        <f t="shared" si="9"/>
        <v>68.040000000000006</v>
      </c>
    </row>
    <row r="126" spans="1:28"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2">
        <v>3</v>
      </c>
      <c r="T126" s="2">
        <v>0.3</v>
      </c>
      <c r="U126" s="2">
        <v>-8.5793999999999997</v>
      </c>
      <c r="V126" t="str">
        <f t="shared" si="5"/>
        <v>Valid</v>
      </c>
      <c r="W126" s="2">
        <v>267.07</v>
      </c>
      <c r="X126" s="2">
        <v>656.2656164</v>
      </c>
      <c r="Y126" s="2" t="str">
        <f t="shared" si="6"/>
        <v>Normal</v>
      </c>
      <c r="Z126">
        <f t="shared" si="7"/>
        <v>2</v>
      </c>
      <c r="AA126">
        <f t="shared" si="8"/>
        <v>-1.4285714285714285E-2</v>
      </c>
      <c r="AB126">
        <f t="shared" si="9"/>
        <v>420.39059999999995</v>
      </c>
    </row>
    <row r="127" spans="1:28"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2">
        <v>6</v>
      </c>
      <c r="T127" s="2">
        <v>0.5</v>
      </c>
      <c r="U127" s="2">
        <v>-407.68200000000002</v>
      </c>
      <c r="V127" t="str">
        <f t="shared" si="5"/>
        <v>Valid</v>
      </c>
      <c r="W127" s="2">
        <v>267.07</v>
      </c>
      <c r="X127" s="2">
        <v>656.2656164</v>
      </c>
      <c r="Y127" s="2" t="str">
        <f t="shared" si="6"/>
        <v>Normal</v>
      </c>
      <c r="Z127">
        <f t="shared" si="7"/>
        <v>5</v>
      </c>
      <c r="AA127">
        <f t="shared" si="8"/>
        <v>-0.66</v>
      </c>
      <c r="AB127">
        <f t="shared" si="9"/>
        <v>308.85000000000002</v>
      </c>
    </row>
    <row r="128" spans="1:28"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2">
        <v>2</v>
      </c>
      <c r="T128" s="2">
        <v>0.7</v>
      </c>
      <c r="U128" s="2">
        <v>-1.8308</v>
      </c>
      <c r="V128" t="str">
        <f t="shared" si="5"/>
        <v>Valid</v>
      </c>
      <c r="W128" s="2">
        <v>267.07</v>
      </c>
      <c r="X128" s="2">
        <v>656.2656164</v>
      </c>
      <c r="Y128" s="2" t="str">
        <f t="shared" si="6"/>
        <v>Normal</v>
      </c>
      <c r="Z128">
        <f t="shared" si="7"/>
        <v>7</v>
      </c>
      <c r="AA128">
        <f t="shared" si="8"/>
        <v>-0.76666666666666672</v>
      </c>
      <c r="AB128">
        <f t="shared" si="9"/>
        <v>0.71640000000000004</v>
      </c>
    </row>
    <row r="129" spans="1:28"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2">
        <v>7</v>
      </c>
      <c r="T129" s="2">
        <v>0.2</v>
      </c>
      <c r="U129" s="2">
        <v>30.498999999999999</v>
      </c>
      <c r="V129" t="str">
        <f t="shared" si="5"/>
        <v>Valid</v>
      </c>
      <c r="W129" s="2">
        <v>267.07</v>
      </c>
      <c r="X129" s="2">
        <v>656.2656164</v>
      </c>
      <c r="Y129" s="2" t="str">
        <f t="shared" si="6"/>
        <v>Normal</v>
      </c>
      <c r="Z129">
        <f t="shared" si="7"/>
        <v>7</v>
      </c>
      <c r="AA129">
        <f t="shared" si="8"/>
        <v>0.125</v>
      </c>
      <c r="AB129">
        <f t="shared" si="9"/>
        <v>195.1936</v>
      </c>
    </row>
    <row r="130" spans="1:28"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2">
        <v>2</v>
      </c>
      <c r="T130" s="2">
        <v>0.2</v>
      </c>
      <c r="U130" s="2">
        <v>-9.1601999999999997</v>
      </c>
      <c r="V130" t="str">
        <f t="shared" si="5"/>
        <v>Valid</v>
      </c>
      <c r="W130" s="2">
        <v>267.07</v>
      </c>
      <c r="X130" s="2">
        <v>656.2656164</v>
      </c>
      <c r="Y130" s="2" t="str">
        <f t="shared" si="6"/>
        <v>Normal</v>
      </c>
      <c r="Z130">
        <f t="shared" si="7"/>
        <v>4</v>
      </c>
      <c r="AA130">
        <f t="shared" si="8"/>
        <v>-0.11249999999999999</v>
      </c>
      <c r="AB130">
        <f t="shared" si="9"/>
        <v>65.139200000000002</v>
      </c>
    </row>
    <row r="131" spans="1:28"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s="2">
        <v>3</v>
      </c>
      <c r="T131" s="2">
        <v>0</v>
      </c>
      <c r="U131" s="2">
        <v>26.241599999999998</v>
      </c>
      <c r="V131" t="str">
        <f t="shared" ref="V131:V194" si="10">IF(D131&gt;=C131, "Valid", "Error")</f>
        <v>Valid</v>
      </c>
      <c r="W131" s="2">
        <v>267.07</v>
      </c>
      <c r="X131" s="2">
        <v>656.2656164</v>
      </c>
      <c r="Y131" s="2" t="str">
        <f t="shared" ref="Y131:Y194" si="11">IF(R131 &gt;(W131 + 3*X131), "High Outlier",  "Normal")</f>
        <v>Normal</v>
      </c>
      <c r="Z131">
        <f t="shared" ref="Z131:Z194" si="12">_xlfn.DAYS(D131,C131)</f>
        <v>4</v>
      </c>
      <c r="AA131">
        <f t="shared" ref="AA131:AA194" si="13">U131/R131</f>
        <v>0.10999999999999999</v>
      </c>
      <c r="AB131">
        <f t="shared" ref="AB131:AB194" si="14">R131*(1-T131)</f>
        <v>238.56</v>
      </c>
    </row>
    <row r="132" spans="1:28"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s="2">
        <v>5</v>
      </c>
      <c r="T132" s="2">
        <v>0.4</v>
      </c>
      <c r="U132" s="2">
        <v>-11.994</v>
      </c>
      <c r="V132" t="str">
        <f t="shared" si="10"/>
        <v>Valid</v>
      </c>
      <c r="W132" s="2">
        <v>267.07</v>
      </c>
      <c r="X132" s="2">
        <v>656.2656164</v>
      </c>
      <c r="Y132" s="2" t="str">
        <f t="shared" si="11"/>
        <v>Normal</v>
      </c>
      <c r="Z132">
        <f t="shared" si="12"/>
        <v>3</v>
      </c>
      <c r="AA132">
        <f t="shared" si="13"/>
        <v>-0.2</v>
      </c>
      <c r="AB132">
        <f t="shared" si="14"/>
        <v>35.981999999999999</v>
      </c>
    </row>
    <row r="133" spans="1:28"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2">
        <v>2</v>
      </c>
      <c r="T133" s="2">
        <v>0.2</v>
      </c>
      <c r="U133" s="2">
        <v>29.364000000000001</v>
      </c>
      <c r="V133" t="str">
        <f t="shared" si="10"/>
        <v>Valid</v>
      </c>
      <c r="W133" s="2">
        <v>267.07</v>
      </c>
      <c r="X133" s="2">
        <v>656.2656164</v>
      </c>
      <c r="Y133" s="2" t="str">
        <f t="shared" si="11"/>
        <v>Normal</v>
      </c>
      <c r="Z133">
        <f t="shared" si="12"/>
        <v>3</v>
      </c>
      <c r="AA133">
        <f t="shared" si="13"/>
        <v>0.375</v>
      </c>
      <c r="AB133">
        <f t="shared" si="14"/>
        <v>62.643200000000007</v>
      </c>
    </row>
    <row r="134" spans="1:28"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s="2">
        <v>9</v>
      </c>
      <c r="T134" s="2">
        <v>0.2</v>
      </c>
      <c r="U134" s="2">
        <v>6.9732000000000003</v>
      </c>
      <c r="V134" t="str">
        <f t="shared" si="10"/>
        <v>Valid</v>
      </c>
      <c r="W134" s="2">
        <v>267.07</v>
      </c>
      <c r="X134" s="2">
        <v>656.2656164</v>
      </c>
      <c r="Y134" s="2" t="str">
        <f t="shared" si="11"/>
        <v>Normal</v>
      </c>
      <c r="Z134">
        <f t="shared" si="12"/>
        <v>3</v>
      </c>
      <c r="AA134">
        <f t="shared" si="13"/>
        <v>0.32500000000000001</v>
      </c>
      <c r="AB134">
        <f t="shared" si="14"/>
        <v>17.1648</v>
      </c>
    </row>
    <row r="135" spans="1:28"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s="2">
        <v>3</v>
      </c>
      <c r="T135" s="2">
        <v>0</v>
      </c>
      <c r="U135" s="2">
        <v>9.6191999999999993</v>
      </c>
      <c r="V135" t="str">
        <f t="shared" si="10"/>
        <v>Valid</v>
      </c>
      <c r="W135" s="2">
        <v>267.07</v>
      </c>
      <c r="X135" s="2">
        <v>656.2656164</v>
      </c>
      <c r="Y135" s="2" t="str">
        <f t="shared" si="11"/>
        <v>Normal</v>
      </c>
      <c r="Z135">
        <f t="shared" si="12"/>
        <v>6</v>
      </c>
      <c r="AA135">
        <f t="shared" si="13"/>
        <v>0.48</v>
      </c>
      <c r="AB135">
        <f t="shared" si="14"/>
        <v>20.04</v>
      </c>
    </row>
    <row r="136" spans="1:28"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s="2">
        <v>1</v>
      </c>
      <c r="T136" s="2">
        <v>0</v>
      </c>
      <c r="U136" s="2">
        <v>16.6568</v>
      </c>
      <c r="V136" t="str">
        <f t="shared" si="10"/>
        <v>Valid</v>
      </c>
      <c r="W136" s="2">
        <v>267.07</v>
      </c>
      <c r="X136" s="2">
        <v>656.2656164</v>
      </c>
      <c r="Y136" s="2" t="str">
        <f t="shared" si="11"/>
        <v>Normal</v>
      </c>
      <c r="Z136">
        <f t="shared" si="12"/>
        <v>6</v>
      </c>
      <c r="AA136">
        <f t="shared" si="13"/>
        <v>0.47000000000000003</v>
      </c>
      <c r="AB136">
        <f t="shared" si="14"/>
        <v>35.44</v>
      </c>
    </row>
    <row r="137" spans="1:28"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s="2">
        <v>4</v>
      </c>
      <c r="T137" s="2">
        <v>0</v>
      </c>
      <c r="U137" s="2">
        <v>3.456</v>
      </c>
      <c r="V137" t="str">
        <f t="shared" si="10"/>
        <v>Valid</v>
      </c>
      <c r="W137" s="2">
        <v>267.07</v>
      </c>
      <c r="X137" s="2">
        <v>656.2656164</v>
      </c>
      <c r="Y137" s="2" t="str">
        <f t="shared" si="11"/>
        <v>Normal</v>
      </c>
      <c r="Z137">
        <f t="shared" si="12"/>
        <v>6</v>
      </c>
      <c r="AA137">
        <f t="shared" si="13"/>
        <v>0.3</v>
      </c>
      <c r="AB137">
        <f t="shared" si="14"/>
        <v>11.52</v>
      </c>
    </row>
    <row r="138" spans="1:28"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2">
        <v>2</v>
      </c>
      <c r="T138" s="2">
        <v>0</v>
      </c>
      <c r="U138" s="2">
        <v>1.9698</v>
      </c>
      <c r="V138" t="str">
        <f t="shared" si="10"/>
        <v>Valid</v>
      </c>
      <c r="W138" s="2">
        <v>267.07</v>
      </c>
      <c r="X138" s="2">
        <v>656.2656164</v>
      </c>
      <c r="Y138" s="2" t="str">
        <f t="shared" si="11"/>
        <v>Normal</v>
      </c>
      <c r="Z138">
        <f t="shared" si="12"/>
        <v>6</v>
      </c>
      <c r="AA138">
        <f t="shared" si="13"/>
        <v>0.49000000000000005</v>
      </c>
      <c r="AB138">
        <f t="shared" si="14"/>
        <v>4.0199999999999996</v>
      </c>
    </row>
    <row r="139" spans="1:28"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2">
        <v>3</v>
      </c>
      <c r="T139" s="2">
        <v>0.2</v>
      </c>
      <c r="U139" s="2">
        <v>26.6616</v>
      </c>
      <c r="V139" t="str">
        <f t="shared" si="10"/>
        <v>Valid</v>
      </c>
      <c r="W139" s="2">
        <v>267.07</v>
      </c>
      <c r="X139" s="2">
        <v>656.2656164</v>
      </c>
      <c r="Y139" s="2" t="str">
        <f t="shared" si="11"/>
        <v>Normal</v>
      </c>
      <c r="Z139">
        <f t="shared" si="12"/>
        <v>6</v>
      </c>
      <c r="AA139">
        <f t="shared" si="13"/>
        <v>0.35</v>
      </c>
      <c r="AB139">
        <f t="shared" si="14"/>
        <v>60.940800000000003</v>
      </c>
    </row>
    <row r="140" spans="1:28"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s="2">
        <v>6</v>
      </c>
      <c r="T140" s="2">
        <v>0</v>
      </c>
      <c r="U140" s="2">
        <v>18.446400000000001</v>
      </c>
      <c r="V140" t="str">
        <f t="shared" si="10"/>
        <v>Valid</v>
      </c>
      <c r="W140" s="2">
        <v>267.07</v>
      </c>
      <c r="X140" s="2">
        <v>656.2656164</v>
      </c>
      <c r="Y140" s="2" t="str">
        <f t="shared" si="11"/>
        <v>Normal</v>
      </c>
      <c r="Z140">
        <f t="shared" si="12"/>
        <v>6</v>
      </c>
      <c r="AA140">
        <f t="shared" si="13"/>
        <v>0.28000000000000003</v>
      </c>
      <c r="AB140">
        <f t="shared" si="14"/>
        <v>65.88</v>
      </c>
    </row>
    <row r="141" spans="1:28"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s="2">
        <v>14</v>
      </c>
      <c r="T141" s="2">
        <v>0</v>
      </c>
      <c r="U141" s="2">
        <v>20.697600000000001</v>
      </c>
      <c r="V141" t="str">
        <f t="shared" si="10"/>
        <v>Valid</v>
      </c>
      <c r="W141" s="2">
        <v>267.07</v>
      </c>
      <c r="X141" s="2">
        <v>656.2656164</v>
      </c>
      <c r="Y141" s="2" t="str">
        <f t="shared" si="11"/>
        <v>Normal</v>
      </c>
      <c r="Z141">
        <f t="shared" si="12"/>
        <v>6</v>
      </c>
      <c r="AA141">
        <f t="shared" si="13"/>
        <v>0.48000000000000004</v>
      </c>
      <c r="AB141">
        <f t="shared" si="14"/>
        <v>43.12</v>
      </c>
    </row>
    <row r="142" spans="1:28"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s="2">
        <v>2</v>
      </c>
      <c r="T142" s="2">
        <v>0.2</v>
      </c>
      <c r="U142" s="2">
        <v>10.35</v>
      </c>
      <c r="V142" t="str">
        <f t="shared" si="10"/>
        <v>Valid</v>
      </c>
      <c r="W142" s="2">
        <v>267.07</v>
      </c>
      <c r="X142" s="2">
        <v>656.2656164</v>
      </c>
      <c r="Y142" s="2" t="str">
        <f t="shared" si="11"/>
        <v>Normal</v>
      </c>
      <c r="Z142">
        <f t="shared" si="12"/>
        <v>2</v>
      </c>
      <c r="AA142">
        <f t="shared" si="13"/>
        <v>0.125</v>
      </c>
      <c r="AB142">
        <f t="shared" si="14"/>
        <v>66.239999999999995</v>
      </c>
    </row>
    <row r="143" spans="1:28"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s="2">
        <v>3</v>
      </c>
      <c r="T143" s="2">
        <v>0</v>
      </c>
      <c r="U143" s="2">
        <v>2.3814000000000002</v>
      </c>
      <c r="V143" t="str">
        <f t="shared" si="10"/>
        <v>Valid</v>
      </c>
      <c r="W143" s="2">
        <v>267.07</v>
      </c>
      <c r="X143" s="2">
        <v>656.2656164</v>
      </c>
      <c r="Y143" s="2" t="str">
        <f t="shared" si="11"/>
        <v>Normal</v>
      </c>
      <c r="Z143">
        <f t="shared" si="12"/>
        <v>5</v>
      </c>
      <c r="AA143">
        <f t="shared" si="13"/>
        <v>0.27</v>
      </c>
      <c r="AB143">
        <f t="shared" si="14"/>
        <v>8.82</v>
      </c>
    </row>
    <row r="144" spans="1:28"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s="2">
        <v>3</v>
      </c>
      <c r="T144" s="2">
        <v>0</v>
      </c>
      <c r="U144" s="2">
        <v>5.1041999999999996</v>
      </c>
      <c r="V144" t="str">
        <f t="shared" si="10"/>
        <v>Valid</v>
      </c>
      <c r="W144" s="2">
        <v>267.07</v>
      </c>
      <c r="X144" s="2">
        <v>656.2656164</v>
      </c>
      <c r="Y144" s="2" t="str">
        <f t="shared" si="11"/>
        <v>Normal</v>
      </c>
      <c r="Z144">
        <f t="shared" si="12"/>
        <v>5</v>
      </c>
      <c r="AA144">
        <f t="shared" si="13"/>
        <v>0.47</v>
      </c>
      <c r="AB144">
        <f t="shared" si="14"/>
        <v>10.86</v>
      </c>
    </row>
    <row r="145" spans="1:28"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2">
        <v>3</v>
      </c>
      <c r="T145" s="2">
        <v>0</v>
      </c>
      <c r="U145" s="2">
        <v>68.975999999999999</v>
      </c>
      <c r="V145" t="str">
        <f t="shared" si="10"/>
        <v>Valid</v>
      </c>
      <c r="W145" s="2">
        <v>267.07</v>
      </c>
      <c r="X145" s="2">
        <v>656.2656164</v>
      </c>
      <c r="Y145" s="2" t="str">
        <f t="shared" si="11"/>
        <v>Normal</v>
      </c>
      <c r="Z145">
        <f t="shared" si="12"/>
        <v>5</v>
      </c>
      <c r="AA145">
        <f t="shared" si="13"/>
        <v>0.48000000000000004</v>
      </c>
      <c r="AB145">
        <f t="shared" si="14"/>
        <v>143.69999999999999</v>
      </c>
    </row>
    <row r="146" spans="1:28"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s="2">
        <v>3</v>
      </c>
      <c r="T146" s="2">
        <v>0</v>
      </c>
      <c r="U146" s="2">
        <v>218.2518</v>
      </c>
      <c r="V146" t="str">
        <f t="shared" si="10"/>
        <v>Valid</v>
      </c>
      <c r="W146" s="2">
        <v>267.07</v>
      </c>
      <c r="X146" s="2">
        <v>656.2656164</v>
      </c>
      <c r="Y146" s="2" t="str">
        <f t="shared" si="11"/>
        <v>Normal</v>
      </c>
      <c r="Z146">
        <f t="shared" si="12"/>
        <v>5</v>
      </c>
      <c r="AA146">
        <f t="shared" si="13"/>
        <v>0.26</v>
      </c>
      <c r="AB146">
        <f t="shared" si="14"/>
        <v>839.43</v>
      </c>
    </row>
    <row r="147" spans="1:28"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s="2">
        <v>7</v>
      </c>
      <c r="T147" s="2">
        <v>0</v>
      </c>
      <c r="U147" s="2">
        <v>20.157900000000001</v>
      </c>
      <c r="V147" t="str">
        <f t="shared" si="10"/>
        <v>Valid</v>
      </c>
      <c r="W147" s="2">
        <v>267.07</v>
      </c>
      <c r="X147" s="2">
        <v>656.2656164</v>
      </c>
      <c r="Y147" s="2" t="str">
        <f t="shared" si="11"/>
        <v>Normal</v>
      </c>
      <c r="Z147">
        <f t="shared" si="12"/>
        <v>5</v>
      </c>
      <c r="AA147">
        <f t="shared" si="13"/>
        <v>3.0000000000000006E-2</v>
      </c>
      <c r="AB147">
        <f t="shared" si="14"/>
        <v>671.93</v>
      </c>
    </row>
    <row r="148" spans="1:28"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2">
        <v>4</v>
      </c>
      <c r="T148" s="2">
        <v>0.2</v>
      </c>
      <c r="U148" s="2">
        <v>12.909599999999999</v>
      </c>
      <c r="V148" t="str">
        <f t="shared" si="10"/>
        <v>Valid</v>
      </c>
      <c r="W148" s="2">
        <v>267.07</v>
      </c>
      <c r="X148" s="2">
        <v>656.2656164</v>
      </c>
      <c r="Y148" s="2" t="str">
        <f t="shared" si="11"/>
        <v>Normal</v>
      </c>
      <c r="Z148">
        <f t="shared" si="12"/>
        <v>6</v>
      </c>
      <c r="AA148">
        <f t="shared" si="13"/>
        <v>0.13749999999999998</v>
      </c>
      <c r="AB148">
        <f t="shared" si="14"/>
        <v>75.110400000000013</v>
      </c>
    </row>
    <row r="149" spans="1:28"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s="2">
        <v>11</v>
      </c>
      <c r="T149" s="2">
        <v>0</v>
      </c>
      <c r="U149" s="2">
        <v>103.8015</v>
      </c>
      <c r="V149" t="str">
        <f t="shared" si="10"/>
        <v>Valid</v>
      </c>
      <c r="W149" s="2">
        <v>267.07</v>
      </c>
      <c r="X149" s="2">
        <v>656.2656164</v>
      </c>
      <c r="Y149" s="2" t="str">
        <f t="shared" si="11"/>
        <v>Normal</v>
      </c>
      <c r="Z149">
        <f t="shared" si="12"/>
        <v>4</v>
      </c>
      <c r="AA149">
        <f t="shared" si="13"/>
        <v>0.27</v>
      </c>
      <c r="AB149">
        <f t="shared" si="14"/>
        <v>384.45</v>
      </c>
    </row>
    <row r="150" spans="1:28"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s="2">
        <v>3</v>
      </c>
      <c r="T150" s="2">
        <v>0</v>
      </c>
      <c r="U150" s="2">
        <v>5.9988000000000001</v>
      </c>
      <c r="V150" t="str">
        <f t="shared" si="10"/>
        <v>Valid</v>
      </c>
      <c r="W150" s="2">
        <v>267.07</v>
      </c>
      <c r="X150" s="2">
        <v>656.2656164</v>
      </c>
      <c r="Y150" s="2" t="str">
        <f t="shared" si="11"/>
        <v>Normal</v>
      </c>
      <c r="Z150">
        <f t="shared" si="12"/>
        <v>4</v>
      </c>
      <c r="AA150">
        <f t="shared" si="13"/>
        <v>0.04</v>
      </c>
      <c r="AB150">
        <f t="shared" si="14"/>
        <v>149.97</v>
      </c>
    </row>
    <row r="151" spans="1:28"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s="2">
        <v>8</v>
      </c>
      <c r="T151" s="2">
        <v>0</v>
      </c>
      <c r="U151" s="2">
        <v>585.55200000000002</v>
      </c>
      <c r="V151" t="str">
        <f t="shared" si="10"/>
        <v>Valid</v>
      </c>
      <c r="W151" s="2">
        <v>267.07</v>
      </c>
      <c r="X151" s="2">
        <v>656.2656164</v>
      </c>
      <c r="Y151" s="2" t="str">
        <f t="shared" si="11"/>
        <v>Normal</v>
      </c>
      <c r="Z151">
        <f t="shared" si="12"/>
        <v>4</v>
      </c>
      <c r="AA151">
        <f t="shared" si="13"/>
        <v>0.30000000000000004</v>
      </c>
      <c r="AB151">
        <f t="shared" si="14"/>
        <v>1951.84</v>
      </c>
    </row>
    <row r="152" spans="1:28"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s="2">
        <v>5</v>
      </c>
      <c r="T152" s="2">
        <v>0</v>
      </c>
      <c r="U152" s="2">
        <v>80.628500000000003</v>
      </c>
      <c r="V152" t="str">
        <f t="shared" si="10"/>
        <v>Valid</v>
      </c>
      <c r="W152" s="2">
        <v>267.07</v>
      </c>
      <c r="X152" s="2">
        <v>656.2656164</v>
      </c>
      <c r="Y152" s="2" t="str">
        <f t="shared" si="11"/>
        <v>Normal</v>
      </c>
      <c r="Z152">
        <f t="shared" si="12"/>
        <v>4</v>
      </c>
      <c r="AA152">
        <f t="shared" si="13"/>
        <v>0.47</v>
      </c>
      <c r="AB152">
        <f t="shared" si="14"/>
        <v>171.55</v>
      </c>
    </row>
    <row r="153" spans="1:28"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2">
        <v>5</v>
      </c>
      <c r="T153" s="2">
        <v>0.2</v>
      </c>
      <c r="U153" s="2">
        <v>17.765999999999998</v>
      </c>
      <c r="V153" t="str">
        <f t="shared" si="10"/>
        <v>Valid</v>
      </c>
      <c r="W153" s="2">
        <v>267.07</v>
      </c>
      <c r="X153" s="2">
        <v>656.2656164</v>
      </c>
      <c r="Y153" s="2" t="str">
        <f t="shared" si="11"/>
        <v>Normal</v>
      </c>
      <c r="Z153">
        <f t="shared" si="12"/>
        <v>3</v>
      </c>
      <c r="AA153">
        <f t="shared" si="13"/>
        <v>0.1125</v>
      </c>
      <c r="AB153">
        <f t="shared" si="14"/>
        <v>126.336</v>
      </c>
    </row>
    <row r="154" spans="1:28"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s="2">
        <v>2</v>
      </c>
      <c r="T154" s="2">
        <v>0.2</v>
      </c>
      <c r="U154" s="2">
        <v>15.238799999999999</v>
      </c>
      <c r="V154" t="str">
        <f t="shared" si="10"/>
        <v>Valid</v>
      </c>
      <c r="W154" s="2">
        <v>267.07</v>
      </c>
      <c r="X154" s="2">
        <v>656.2656164</v>
      </c>
      <c r="Y154" s="2" t="str">
        <f t="shared" si="11"/>
        <v>Normal</v>
      </c>
      <c r="Z154">
        <f t="shared" si="12"/>
        <v>3</v>
      </c>
      <c r="AA154">
        <f t="shared" si="13"/>
        <v>7.4999999999999997E-2</v>
      </c>
      <c r="AB154">
        <f t="shared" si="14"/>
        <v>162.5472</v>
      </c>
    </row>
    <row r="155" spans="1:28"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s="2">
        <v>7</v>
      </c>
      <c r="T155" s="2">
        <v>0</v>
      </c>
      <c r="U155" s="2">
        <v>26.271000000000001</v>
      </c>
      <c r="V155" t="str">
        <f t="shared" si="10"/>
        <v>Valid</v>
      </c>
      <c r="W155" s="2">
        <v>267.07</v>
      </c>
      <c r="X155" s="2">
        <v>656.2656164</v>
      </c>
      <c r="Y155" s="2" t="str">
        <f t="shared" si="11"/>
        <v>Normal</v>
      </c>
      <c r="Z155">
        <f t="shared" si="12"/>
        <v>2</v>
      </c>
      <c r="AA155">
        <f t="shared" si="13"/>
        <v>0.45</v>
      </c>
      <c r="AB155">
        <f t="shared" si="14"/>
        <v>58.38</v>
      </c>
    </row>
    <row r="156" spans="1:28"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s="2">
        <v>4</v>
      </c>
      <c r="T156" s="2">
        <v>0</v>
      </c>
      <c r="U156" s="2">
        <v>48.539200000000001</v>
      </c>
      <c r="V156" t="str">
        <f t="shared" si="10"/>
        <v>Valid</v>
      </c>
      <c r="W156" s="2">
        <v>267.07</v>
      </c>
      <c r="X156" s="2">
        <v>656.2656164</v>
      </c>
      <c r="Y156" s="2" t="str">
        <f t="shared" si="11"/>
        <v>Normal</v>
      </c>
      <c r="Z156">
        <f t="shared" si="12"/>
        <v>2</v>
      </c>
      <c r="AA156">
        <f t="shared" si="13"/>
        <v>0.46</v>
      </c>
      <c r="AB156">
        <f t="shared" si="14"/>
        <v>105.52</v>
      </c>
    </row>
    <row r="157" spans="1:28"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s="2">
        <v>6</v>
      </c>
      <c r="T157" s="2">
        <v>0</v>
      </c>
      <c r="U157" s="2">
        <v>21.0288</v>
      </c>
      <c r="V157" t="str">
        <f t="shared" si="10"/>
        <v>Valid</v>
      </c>
      <c r="W157" s="2">
        <v>267.07</v>
      </c>
      <c r="X157" s="2">
        <v>656.2656164</v>
      </c>
      <c r="Y157" s="2" t="str">
        <f t="shared" si="11"/>
        <v>Normal</v>
      </c>
      <c r="Z157">
        <f t="shared" si="12"/>
        <v>2</v>
      </c>
      <c r="AA157">
        <f t="shared" si="13"/>
        <v>0.26</v>
      </c>
      <c r="AB157">
        <f t="shared" si="14"/>
        <v>80.88</v>
      </c>
    </row>
    <row r="158" spans="1:28"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s="2">
        <v>3</v>
      </c>
      <c r="T158" s="2">
        <v>0</v>
      </c>
      <c r="U158" s="2">
        <v>1.7901</v>
      </c>
      <c r="V158" t="str">
        <f t="shared" si="10"/>
        <v>Valid</v>
      </c>
      <c r="W158" s="2">
        <v>267.07</v>
      </c>
      <c r="X158" s="2">
        <v>656.2656164</v>
      </c>
      <c r="Y158" s="2" t="str">
        <f t="shared" si="11"/>
        <v>Normal</v>
      </c>
      <c r="Z158">
        <f t="shared" si="12"/>
        <v>6</v>
      </c>
      <c r="AA158">
        <f t="shared" si="13"/>
        <v>0.27</v>
      </c>
      <c r="AB158">
        <f t="shared" si="14"/>
        <v>6.63</v>
      </c>
    </row>
    <row r="159" spans="1:28"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2">
        <v>2</v>
      </c>
      <c r="T159" s="2">
        <v>0.2</v>
      </c>
      <c r="U159" s="2">
        <v>51.476399999999998</v>
      </c>
      <c r="V159" t="str">
        <f t="shared" si="10"/>
        <v>Valid</v>
      </c>
      <c r="W159" s="2">
        <v>267.07</v>
      </c>
      <c r="X159" s="2">
        <v>656.2656164</v>
      </c>
      <c r="Y159" s="2" t="str">
        <f t="shared" si="11"/>
        <v>Normal</v>
      </c>
      <c r="Z159">
        <f t="shared" si="12"/>
        <v>5</v>
      </c>
      <c r="AA159">
        <f t="shared" si="13"/>
        <v>0.1125</v>
      </c>
      <c r="AB159">
        <f t="shared" si="14"/>
        <v>366.05439999999999</v>
      </c>
    </row>
    <row r="160" spans="1:28"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s="2">
        <v>2</v>
      </c>
      <c r="T160" s="2">
        <v>0</v>
      </c>
      <c r="U160" s="2">
        <v>6.8714000000000004</v>
      </c>
      <c r="V160" t="str">
        <f t="shared" si="10"/>
        <v>Valid</v>
      </c>
      <c r="W160" s="2">
        <v>267.07</v>
      </c>
      <c r="X160" s="2">
        <v>656.2656164</v>
      </c>
      <c r="Y160" s="2" t="str">
        <f t="shared" si="11"/>
        <v>Normal</v>
      </c>
      <c r="Z160">
        <f t="shared" si="12"/>
        <v>4</v>
      </c>
      <c r="AA160">
        <f t="shared" si="13"/>
        <v>0.47000000000000003</v>
      </c>
      <c r="AB160">
        <f t="shared" si="14"/>
        <v>14.62</v>
      </c>
    </row>
    <row r="161" spans="1:28"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s="2">
        <v>7</v>
      </c>
      <c r="T161" s="2">
        <v>0</v>
      </c>
      <c r="U161" s="2">
        <v>236.23249999999999</v>
      </c>
      <c r="V161" t="str">
        <f t="shared" si="10"/>
        <v>Valid</v>
      </c>
      <c r="W161" s="2">
        <v>267.07</v>
      </c>
      <c r="X161" s="2">
        <v>656.2656164</v>
      </c>
      <c r="Y161" s="2" t="str">
        <f t="shared" si="11"/>
        <v>Normal</v>
      </c>
      <c r="Z161">
        <f t="shared" si="12"/>
        <v>4</v>
      </c>
      <c r="AA161">
        <f t="shared" si="13"/>
        <v>0.25</v>
      </c>
      <c r="AB161">
        <f t="shared" si="14"/>
        <v>944.93</v>
      </c>
    </row>
    <row r="162" spans="1:28"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s="2">
        <v>1</v>
      </c>
      <c r="T162" s="2">
        <v>0</v>
      </c>
      <c r="U162" s="2">
        <v>2.6909999999999998</v>
      </c>
      <c r="V162" t="str">
        <f t="shared" si="10"/>
        <v>Valid</v>
      </c>
      <c r="W162" s="2">
        <v>267.07</v>
      </c>
      <c r="X162" s="2">
        <v>656.2656164</v>
      </c>
      <c r="Y162" s="2" t="str">
        <f t="shared" si="11"/>
        <v>Normal</v>
      </c>
      <c r="Z162">
        <f t="shared" si="12"/>
        <v>1</v>
      </c>
      <c r="AA162">
        <f t="shared" si="13"/>
        <v>0.44999999999999996</v>
      </c>
      <c r="AB162">
        <f t="shared" si="14"/>
        <v>5.98</v>
      </c>
    </row>
    <row r="163" spans="1:28"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s="2">
        <v>2</v>
      </c>
      <c r="T163" s="2">
        <v>0.2</v>
      </c>
      <c r="U163" s="2">
        <v>1.3595999999999999</v>
      </c>
      <c r="V163" t="str">
        <f t="shared" si="10"/>
        <v>Valid</v>
      </c>
      <c r="W163" s="2">
        <v>267.07</v>
      </c>
      <c r="X163" s="2">
        <v>656.2656164</v>
      </c>
      <c r="Y163" s="2" t="str">
        <f t="shared" si="11"/>
        <v>Normal</v>
      </c>
      <c r="Z163">
        <f t="shared" si="12"/>
        <v>3</v>
      </c>
      <c r="AA163">
        <f t="shared" si="13"/>
        <v>2.4999999999999998E-2</v>
      </c>
      <c r="AB163">
        <f t="shared" si="14"/>
        <v>43.507200000000005</v>
      </c>
    </row>
    <row r="164" spans="1:28"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s="2">
        <v>5</v>
      </c>
      <c r="T164" s="2">
        <v>0</v>
      </c>
      <c r="U164" s="2">
        <v>13.348000000000001</v>
      </c>
      <c r="V164" t="str">
        <f t="shared" si="10"/>
        <v>Valid</v>
      </c>
      <c r="W164" s="2">
        <v>267.07</v>
      </c>
      <c r="X164" s="2">
        <v>656.2656164</v>
      </c>
      <c r="Y164" s="2" t="str">
        <f t="shared" si="11"/>
        <v>Normal</v>
      </c>
      <c r="Z164">
        <f t="shared" si="12"/>
        <v>4</v>
      </c>
      <c r="AA164">
        <f t="shared" si="13"/>
        <v>0.47000000000000003</v>
      </c>
      <c r="AB164">
        <f t="shared" si="14"/>
        <v>28.4</v>
      </c>
    </row>
    <row r="165" spans="1:28"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s="2">
        <v>2</v>
      </c>
      <c r="T165" s="2">
        <v>0.2</v>
      </c>
      <c r="U165" s="2">
        <v>9.6880000000000006</v>
      </c>
      <c r="V165" t="str">
        <f t="shared" si="10"/>
        <v>Valid</v>
      </c>
      <c r="W165" s="2">
        <v>267.07</v>
      </c>
      <c r="X165" s="2">
        <v>656.2656164</v>
      </c>
      <c r="Y165" s="2" t="str">
        <f t="shared" si="11"/>
        <v>Normal</v>
      </c>
      <c r="Z165">
        <f t="shared" si="12"/>
        <v>4</v>
      </c>
      <c r="AA165">
        <f t="shared" si="13"/>
        <v>0.35000000000000003</v>
      </c>
      <c r="AB165">
        <f t="shared" si="14"/>
        <v>22.144000000000002</v>
      </c>
    </row>
    <row r="166" spans="1:28"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2">
        <v>3</v>
      </c>
      <c r="T166" s="2">
        <v>0.2</v>
      </c>
      <c r="U166" s="2">
        <v>2.7324000000000002</v>
      </c>
      <c r="V166" t="str">
        <f t="shared" si="10"/>
        <v>Valid</v>
      </c>
      <c r="W166" s="2">
        <v>267.07</v>
      </c>
      <c r="X166" s="2">
        <v>656.2656164</v>
      </c>
      <c r="Y166" s="2" t="str">
        <f t="shared" si="11"/>
        <v>Normal</v>
      </c>
      <c r="Z166">
        <f t="shared" si="12"/>
        <v>4</v>
      </c>
      <c r="AA166">
        <f t="shared" si="13"/>
        <v>0.27500000000000002</v>
      </c>
      <c r="AB166">
        <f t="shared" si="14"/>
        <v>7.9488000000000003</v>
      </c>
    </row>
    <row r="167" spans="1:28"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2">
        <v>8</v>
      </c>
      <c r="T167" s="2">
        <v>0.4</v>
      </c>
      <c r="U167" s="2">
        <v>-1359.992</v>
      </c>
      <c r="V167" t="str">
        <f t="shared" si="10"/>
        <v>Valid</v>
      </c>
      <c r="W167" s="2">
        <v>267.07</v>
      </c>
      <c r="X167" s="2">
        <v>656.2656164</v>
      </c>
      <c r="Y167" s="2" t="str">
        <f t="shared" si="11"/>
        <v>High Outlier</v>
      </c>
      <c r="Z167">
        <f t="shared" si="12"/>
        <v>4</v>
      </c>
      <c r="AA167">
        <f t="shared" si="13"/>
        <v>-0.16666666666666666</v>
      </c>
      <c r="AB167">
        <f t="shared" si="14"/>
        <v>4895.9712</v>
      </c>
    </row>
    <row r="168" spans="1:28"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s="2">
        <v>3</v>
      </c>
      <c r="T168" s="2">
        <v>0.2</v>
      </c>
      <c r="U168" s="2">
        <v>-58.634700000000002</v>
      </c>
      <c r="V168" t="str">
        <f t="shared" si="10"/>
        <v>Valid</v>
      </c>
      <c r="W168" s="2">
        <v>267.07</v>
      </c>
      <c r="X168" s="2">
        <v>656.2656164</v>
      </c>
      <c r="Y168" s="2" t="str">
        <f t="shared" si="11"/>
        <v>Normal</v>
      </c>
      <c r="Z168">
        <f t="shared" si="12"/>
        <v>4</v>
      </c>
      <c r="AA168">
        <f t="shared" si="13"/>
        <v>-0.21250000000000002</v>
      </c>
      <c r="AB168">
        <f t="shared" si="14"/>
        <v>220.7424</v>
      </c>
    </row>
    <row r="169" spans="1:28"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s="2">
        <v>9</v>
      </c>
      <c r="T169" s="2">
        <v>0.3</v>
      </c>
      <c r="U169" s="2">
        <v>-24.858000000000001</v>
      </c>
      <c r="V169" t="str">
        <f t="shared" si="10"/>
        <v>Valid</v>
      </c>
      <c r="W169" s="2">
        <v>267.07</v>
      </c>
      <c r="X169" s="2">
        <v>656.2656164</v>
      </c>
      <c r="Y169" s="2" t="str">
        <f t="shared" si="11"/>
        <v>Normal</v>
      </c>
      <c r="Z169">
        <f t="shared" si="12"/>
        <v>4</v>
      </c>
      <c r="AA169">
        <f t="shared" si="13"/>
        <v>-1.4285714285714287E-2</v>
      </c>
      <c r="AB169">
        <f t="shared" si="14"/>
        <v>1218.0419999999999</v>
      </c>
    </row>
    <row r="170" spans="1:28"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s="2">
        <v>6</v>
      </c>
      <c r="T170" s="2">
        <v>0.2</v>
      </c>
      <c r="U170" s="2">
        <v>6.8136000000000001</v>
      </c>
      <c r="V170" t="str">
        <f t="shared" si="10"/>
        <v>Valid</v>
      </c>
      <c r="W170" s="2">
        <v>267.07</v>
      </c>
      <c r="X170" s="2">
        <v>656.2656164</v>
      </c>
      <c r="Y170" s="2" t="str">
        <f t="shared" si="11"/>
        <v>Normal</v>
      </c>
      <c r="Z170">
        <f t="shared" si="12"/>
        <v>4</v>
      </c>
      <c r="AA170">
        <f t="shared" si="13"/>
        <v>0.21249999999999999</v>
      </c>
      <c r="AB170">
        <f t="shared" si="14"/>
        <v>25.651200000000003</v>
      </c>
    </row>
    <row r="171" spans="1:28"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s="2">
        <v>5</v>
      </c>
      <c r="T171" s="2">
        <v>0.8</v>
      </c>
      <c r="U171" s="2">
        <v>-453.84899999999999</v>
      </c>
      <c r="V171" t="str">
        <f t="shared" si="10"/>
        <v>Valid</v>
      </c>
      <c r="W171" s="2">
        <v>267.07</v>
      </c>
      <c r="X171" s="2">
        <v>656.2656164</v>
      </c>
      <c r="Y171" s="2" t="str">
        <f t="shared" si="11"/>
        <v>Normal</v>
      </c>
      <c r="Z171">
        <f t="shared" si="12"/>
        <v>4</v>
      </c>
      <c r="AA171">
        <f t="shared" si="13"/>
        <v>-2.5500000000000003</v>
      </c>
      <c r="AB171">
        <f t="shared" si="14"/>
        <v>35.595999999999989</v>
      </c>
    </row>
    <row r="172" spans="1:28"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s="2">
        <v>3</v>
      </c>
      <c r="T172" s="2">
        <v>0.2</v>
      </c>
      <c r="U172" s="2">
        <v>8.9984999999999999</v>
      </c>
      <c r="V172" t="str">
        <f t="shared" si="10"/>
        <v>Valid</v>
      </c>
      <c r="W172" s="2">
        <v>267.07</v>
      </c>
      <c r="X172" s="2">
        <v>656.2656164</v>
      </c>
      <c r="Y172" s="2" t="str">
        <f t="shared" si="11"/>
        <v>Normal</v>
      </c>
      <c r="Z172">
        <f t="shared" si="12"/>
        <v>4</v>
      </c>
      <c r="AA172">
        <f t="shared" si="13"/>
        <v>6.25E-2</v>
      </c>
      <c r="AB172">
        <f t="shared" si="14"/>
        <v>115.1808</v>
      </c>
    </row>
    <row r="173" spans="1:28"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s="2">
        <v>3</v>
      </c>
      <c r="T173" s="2">
        <v>0</v>
      </c>
      <c r="U173" s="2">
        <v>9.8417999999999992</v>
      </c>
      <c r="V173" t="str">
        <f t="shared" si="10"/>
        <v>Valid</v>
      </c>
      <c r="W173" s="2">
        <v>267.07</v>
      </c>
      <c r="X173" s="2">
        <v>656.2656164</v>
      </c>
      <c r="Y173" s="2" t="str">
        <f t="shared" si="11"/>
        <v>Normal</v>
      </c>
      <c r="Z173">
        <f t="shared" si="12"/>
        <v>4</v>
      </c>
      <c r="AA173">
        <f t="shared" si="13"/>
        <v>0.46999999999999992</v>
      </c>
      <c r="AB173">
        <f t="shared" si="14"/>
        <v>20.94</v>
      </c>
    </row>
    <row r="174" spans="1:28"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s="2">
        <v>2</v>
      </c>
      <c r="T174" s="2">
        <v>0</v>
      </c>
      <c r="U174" s="2">
        <v>53.260800000000003</v>
      </c>
      <c r="V174" t="str">
        <f t="shared" si="10"/>
        <v>Valid</v>
      </c>
      <c r="W174" s="2">
        <v>267.07</v>
      </c>
      <c r="X174" s="2">
        <v>656.2656164</v>
      </c>
      <c r="Y174" s="2" t="str">
        <f t="shared" si="11"/>
        <v>Normal</v>
      </c>
      <c r="Z174">
        <f t="shared" si="12"/>
        <v>4</v>
      </c>
      <c r="AA174">
        <f t="shared" si="13"/>
        <v>0.48000000000000004</v>
      </c>
      <c r="AB174">
        <f t="shared" si="14"/>
        <v>110.96</v>
      </c>
    </row>
    <row r="175" spans="1:28"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2">
        <v>7</v>
      </c>
      <c r="T175" s="2">
        <v>0.2</v>
      </c>
      <c r="U175" s="2">
        <v>21.259</v>
      </c>
      <c r="V175" t="str">
        <f t="shared" si="10"/>
        <v>Valid</v>
      </c>
      <c r="W175" s="2">
        <v>267.07</v>
      </c>
      <c r="X175" s="2">
        <v>656.2656164</v>
      </c>
      <c r="Y175" s="2" t="str">
        <f t="shared" si="11"/>
        <v>Normal</v>
      </c>
      <c r="Z175">
        <f t="shared" si="12"/>
        <v>4</v>
      </c>
      <c r="AA175">
        <f t="shared" si="13"/>
        <v>6.25E-2</v>
      </c>
      <c r="AB175">
        <f t="shared" si="14"/>
        <v>272.11520000000002</v>
      </c>
    </row>
    <row r="176" spans="1:28"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s="2">
        <v>2</v>
      </c>
      <c r="T176" s="2">
        <v>0.8</v>
      </c>
      <c r="U176" s="2">
        <v>-131.12</v>
      </c>
      <c r="V176" t="str">
        <f t="shared" si="10"/>
        <v>Valid</v>
      </c>
      <c r="W176" s="2">
        <v>267.07</v>
      </c>
      <c r="X176" s="2">
        <v>656.2656164</v>
      </c>
      <c r="Y176" s="2" t="str">
        <f t="shared" si="11"/>
        <v>Normal</v>
      </c>
      <c r="Z176">
        <f t="shared" si="12"/>
        <v>5</v>
      </c>
      <c r="AA176">
        <f t="shared" si="13"/>
        <v>-2.5</v>
      </c>
      <c r="AB176">
        <f t="shared" si="14"/>
        <v>10.489599999999998</v>
      </c>
    </row>
    <row r="177" spans="1:28"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s="2">
        <v>4</v>
      </c>
      <c r="T177" s="2">
        <v>0.2</v>
      </c>
      <c r="U177" s="2">
        <v>6.5519999999999996</v>
      </c>
      <c r="V177" t="str">
        <f t="shared" si="10"/>
        <v>Valid</v>
      </c>
      <c r="W177" s="2">
        <v>267.07</v>
      </c>
      <c r="X177" s="2">
        <v>656.2656164</v>
      </c>
      <c r="Y177" s="2" t="str">
        <f t="shared" si="11"/>
        <v>Normal</v>
      </c>
      <c r="Z177">
        <f t="shared" si="12"/>
        <v>5</v>
      </c>
      <c r="AA177">
        <f t="shared" si="13"/>
        <v>0.32499999999999996</v>
      </c>
      <c r="AB177">
        <f t="shared" si="14"/>
        <v>16.128</v>
      </c>
    </row>
    <row r="178" spans="1:28"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2">
        <v>4</v>
      </c>
      <c r="T178" s="2">
        <v>0.8</v>
      </c>
      <c r="U178" s="2">
        <v>-243.16</v>
      </c>
      <c r="V178" t="str">
        <f t="shared" si="10"/>
        <v>Valid</v>
      </c>
      <c r="W178" s="2">
        <v>267.07</v>
      </c>
      <c r="X178" s="2">
        <v>656.2656164</v>
      </c>
      <c r="Y178" s="2" t="str">
        <f t="shared" si="11"/>
        <v>Normal</v>
      </c>
      <c r="Z178">
        <f t="shared" si="12"/>
        <v>4</v>
      </c>
      <c r="AA178">
        <f t="shared" si="13"/>
        <v>-2.5</v>
      </c>
      <c r="AB178">
        <f t="shared" si="14"/>
        <v>19.452799999999996</v>
      </c>
    </row>
    <row r="179" spans="1:28"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2">
        <v>7</v>
      </c>
      <c r="T179" s="2">
        <v>0.3</v>
      </c>
      <c r="U179" s="2">
        <v>-11.337199999999999</v>
      </c>
      <c r="V179" t="str">
        <f t="shared" si="10"/>
        <v>Valid</v>
      </c>
      <c r="W179" s="2">
        <v>267.07</v>
      </c>
      <c r="X179" s="2">
        <v>656.2656164</v>
      </c>
      <c r="Y179" s="2" t="str">
        <f t="shared" si="11"/>
        <v>Normal</v>
      </c>
      <c r="Z179">
        <f t="shared" si="12"/>
        <v>2</v>
      </c>
      <c r="AA179">
        <f t="shared" si="13"/>
        <v>-2.8571428571428567E-2</v>
      </c>
      <c r="AB179">
        <f t="shared" si="14"/>
        <v>277.76139999999998</v>
      </c>
    </row>
    <row r="180" spans="1:28"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s="2">
        <v>5</v>
      </c>
      <c r="T180" s="2">
        <v>0.2</v>
      </c>
      <c r="U180" s="2">
        <v>-3.7715000000000001</v>
      </c>
      <c r="V180" t="str">
        <f t="shared" si="10"/>
        <v>Valid</v>
      </c>
      <c r="W180" s="2">
        <v>267.07</v>
      </c>
      <c r="X180" s="2">
        <v>656.2656164</v>
      </c>
      <c r="Y180" s="2" t="str">
        <f t="shared" si="11"/>
        <v>Normal</v>
      </c>
      <c r="Z180">
        <f t="shared" si="12"/>
        <v>2</v>
      </c>
      <c r="AA180">
        <f t="shared" si="13"/>
        <v>-0.23749999999999999</v>
      </c>
      <c r="AB180">
        <f t="shared" si="14"/>
        <v>12.704000000000001</v>
      </c>
    </row>
    <row r="181" spans="1:28"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s="2">
        <v>1</v>
      </c>
      <c r="T181" s="2">
        <v>0</v>
      </c>
      <c r="U181" s="2">
        <v>1.4104000000000001</v>
      </c>
      <c r="V181" t="str">
        <f t="shared" si="10"/>
        <v>Valid</v>
      </c>
      <c r="W181" s="2">
        <v>267.07</v>
      </c>
      <c r="X181" s="2">
        <v>656.2656164</v>
      </c>
      <c r="Y181" s="2" t="str">
        <f t="shared" si="11"/>
        <v>Normal</v>
      </c>
      <c r="Z181">
        <f t="shared" si="12"/>
        <v>4</v>
      </c>
      <c r="AA181">
        <f t="shared" si="13"/>
        <v>0.43000000000000005</v>
      </c>
      <c r="AB181">
        <f t="shared" si="14"/>
        <v>3.28</v>
      </c>
    </row>
    <row r="182" spans="1:28"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2">
        <v>2</v>
      </c>
      <c r="T182" s="2">
        <v>0.2</v>
      </c>
      <c r="U182" s="2">
        <v>1.8612</v>
      </c>
      <c r="V182" t="str">
        <f t="shared" si="10"/>
        <v>Valid</v>
      </c>
      <c r="W182" s="2">
        <v>267.07</v>
      </c>
      <c r="X182" s="2">
        <v>656.2656164</v>
      </c>
      <c r="Y182" s="2" t="str">
        <f t="shared" si="11"/>
        <v>Normal</v>
      </c>
      <c r="Z182">
        <f t="shared" si="12"/>
        <v>4</v>
      </c>
      <c r="AA182">
        <f t="shared" si="13"/>
        <v>7.4999999999999997E-2</v>
      </c>
      <c r="AB182">
        <f t="shared" si="14"/>
        <v>19.852800000000002</v>
      </c>
    </row>
    <row r="183" spans="1:28"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2">
        <v>7</v>
      </c>
      <c r="T183" s="2">
        <v>0.2</v>
      </c>
      <c r="U183" s="2">
        <v>76.639499999999998</v>
      </c>
      <c r="V183" t="str">
        <f t="shared" si="10"/>
        <v>Valid</v>
      </c>
      <c r="W183" s="2">
        <v>267.07</v>
      </c>
      <c r="X183" s="2">
        <v>656.2656164</v>
      </c>
      <c r="Y183" s="2" t="str">
        <f t="shared" si="11"/>
        <v>Normal</v>
      </c>
      <c r="Z183">
        <f t="shared" si="12"/>
        <v>4</v>
      </c>
      <c r="AA183">
        <f t="shared" si="13"/>
        <v>0.18749999999999997</v>
      </c>
      <c r="AB183">
        <f t="shared" si="14"/>
        <v>326.99520000000007</v>
      </c>
    </row>
    <row r="184" spans="1:28"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s="2">
        <v>4</v>
      </c>
      <c r="T184" s="2">
        <v>0</v>
      </c>
      <c r="U184" s="2">
        <v>131.02959999999999</v>
      </c>
      <c r="V184" t="str">
        <f t="shared" si="10"/>
        <v>Valid</v>
      </c>
      <c r="W184" s="2">
        <v>267.07</v>
      </c>
      <c r="X184" s="2">
        <v>656.2656164</v>
      </c>
      <c r="Y184" s="2" t="str">
        <f t="shared" si="11"/>
        <v>Normal</v>
      </c>
      <c r="Z184">
        <f t="shared" si="12"/>
        <v>5</v>
      </c>
      <c r="AA184">
        <f t="shared" si="13"/>
        <v>0.26</v>
      </c>
      <c r="AB184">
        <f t="shared" si="14"/>
        <v>503.96</v>
      </c>
    </row>
    <row r="185" spans="1:28"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2">
        <v>5</v>
      </c>
      <c r="T185" s="2">
        <v>0</v>
      </c>
      <c r="U185" s="2">
        <v>41.985999999999997</v>
      </c>
      <c r="V185" t="str">
        <f t="shared" si="10"/>
        <v>Valid</v>
      </c>
      <c r="W185" s="2">
        <v>267.07</v>
      </c>
      <c r="X185" s="2">
        <v>656.2656164</v>
      </c>
      <c r="Y185" s="2" t="str">
        <f t="shared" si="11"/>
        <v>Normal</v>
      </c>
      <c r="Z185">
        <f t="shared" si="12"/>
        <v>5</v>
      </c>
      <c r="AA185">
        <f t="shared" si="13"/>
        <v>0.28000000000000003</v>
      </c>
      <c r="AB185">
        <f t="shared" si="14"/>
        <v>149.94999999999999</v>
      </c>
    </row>
    <row r="186" spans="1:28"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s="2">
        <v>2</v>
      </c>
      <c r="T186" s="2">
        <v>0</v>
      </c>
      <c r="U186" s="2">
        <v>7.25</v>
      </c>
      <c r="V186" t="str">
        <f t="shared" si="10"/>
        <v>Valid</v>
      </c>
      <c r="W186" s="2">
        <v>267.07</v>
      </c>
      <c r="X186" s="2">
        <v>656.2656164</v>
      </c>
      <c r="Y186" s="2" t="str">
        <f t="shared" si="11"/>
        <v>Normal</v>
      </c>
      <c r="Z186">
        <f t="shared" si="12"/>
        <v>5</v>
      </c>
      <c r="AA186">
        <f t="shared" si="13"/>
        <v>0.25</v>
      </c>
      <c r="AB186">
        <f t="shared" si="14"/>
        <v>29</v>
      </c>
    </row>
    <row r="187" spans="1:28"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s="2">
        <v>2</v>
      </c>
      <c r="T187" s="2">
        <v>0</v>
      </c>
      <c r="U187" s="2">
        <v>3.4367999999999999</v>
      </c>
      <c r="V187" t="str">
        <f t="shared" si="10"/>
        <v>Valid</v>
      </c>
      <c r="W187" s="2">
        <v>267.07</v>
      </c>
      <c r="X187" s="2">
        <v>656.2656164</v>
      </c>
      <c r="Y187" s="2" t="str">
        <f t="shared" si="11"/>
        <v>Normal</v>
      </c>
      <c r="Z187">
        <f t="shared" si="12"/>
        <v>4</v>
      </c>
      <c r="AA187">
        <f t="shared" si="13"/>
        <v>0.48</v>
      </c>
      <c r="AB187">
        <f t="shared" si="14"/>
        <v>7.16</v>
      </c>
    </row>
    <row r="188" spans="1:28"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s="2">
        <v>8</v>
      </c>
      <c r="T188" s="2">
        <v>0</v>
      </c>
      <c r="U188" s="2">
        <v>22.984000000000002</v>
      </c>
      <c r="V188" t="str">
        <f t="shared" si="10"/>
        <v>Valid</v>
      </c>
      <c r="W188" s="2">
        <v>267.07</v>
      </c>
      <c r="X188" s="2">
        <v>656.2656164</v>
      </c>
      <c r="Y188" s="2" t="str">
        <f t="shared" si="11"/>
        <v>Normal</v>
      </c>
      <c r="Z188">
        <f t="shared" si="12"/>
        <v>4</v>
      </c>
      <c r="AA188">
        <f t="shared" si="13"/>
        <v>0.13</v>
      </c>
      <c r="AB188">
        <f t="shared" si="14"/>
        <v>176.8</v>
      </c>
    </row>
    <row r="189" spans="1:28"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2">
        <v>3</v>
      </c>
      <c r="T189" s="2">
        <v>0.2</v>
      </c>
      <c r="U189" s="2">
        <v>3.7223999999999999</v>
      </c>
      <c r="V189" t="str">
        <f t="shared" si="10"/>
        <v>Valid</v>
      </c>
      <c r="W189" s="2">
        <v>267.07</v>
      </c>
      <c r="X189" s="2">
        <v>656.2656164</v>
      </c>
      <c r="Y189" s="2" t="str">
        <f t="shared" si="11"/>
        <v>Normal</v>
      </c>
      <c r="Z189">
        <f t="shared" si="12"/>
        <v>6</v>
      </c>
      <c r="AA189">
        <f t="shared" si="13"/>
        <v>0.1</v>
      </c>
      <c r="AB189">
        <f t="shared" si="14"/>
        <v>29.779199999999999</v>
      </c>
    </row>
    <row r="190" spans="1:28"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2">
        <v>3</v>
      </c>
      <c r="T190" s="2">
        <v>0.2</v>
      </c>
      <c r="U190" s="2">
        <v>6.2549999999999999</v>
      </c>
      <c r="V190" t="str">
        <f t="shared" si="10"/>
        <v>Valid</v>
      </c>
      <c r="W190" s="2">
        <v>267.07</v>
      </c>
      <c r="X190" s="2">
        <v>656.2656164</v>
      </c>
      <c r="Y190" s="2" t="str">
        <f t="shared" si="11"/>
        <v>Normal</v>
      </c>
      <c r="Z190">
        <f t="shared" si="12"/>
        <v>6</v>
      </c>
      <c r="AA190">
        <f t="shared" si="13"/>
        <v>0.3125</v>
      </c>
      <c r="AB190">
        <f t="shared" si="14"/>
        <v>16.012799999999999</v>
      </c>
    </row>
    <row r="191" spans="1:28"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2">
        <v>4</v>
      </c>
      <c r="T191" s="2">
        <v>0.2</v>
      </c>
      <c r="U191" s="2">
        <v>112.392</v>
      </c>
      <c r="V191" t="str">
        <f t="shared" si="10"/>
        <v>Valid</v>
      </c>
      <c r="W191" s="2">
        <v>267.07</v>
      </c>
      <c r="X191" s="2">
        <v>656.2656164</v>
      </c>
      <c r="Y191" s="2" t="str">
        <f t="shared" si="11"/>
        <v>Normal</v>
      </c>
      <c r="Z191">
        <f t="shared" si="12"/>
        <v>2</v>
      </c>
      <c r="AA191">
        <f t="shared" si="13"/>
        <v>0.125</v>
      </c>
      <c r="AB191">
        <f t="shared" si="14"/>
        <v>719.30880000000002</v>
      </c>
    </row>
    <row r="192" spans="1:28"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2">
        <v>6</v>
      </c>
      <c r="T192" s="2">
        <v>0</v>
      </c>
      <c r="U192" s="2">
        <v>20.0928</v>
      </c>
      <c r="V192" t="str">
        <f t="shared" si="10"/>
        <v>Valid</v>
      </c>
      <c r="W192" s="2">
        <v>267.07</v>
      </c>
      <c r="X192" s="2">
        <v>656.2656164</v>
      </c>
      <c r="Y192" s="2" t="str">
        <f t="shared" si="11"/>
        <v>Normal</v>
      </c>
      <c r="Z192">
        <f t="shared" si="12"/>
        <v>2</v>
      </c>
      <c r="AA192">
        <f t="shared" si="13"/>
        <v>0.27999999999999997</v>
      </c>
      <c r="AB192">
        <f t="shared" si="14"/>
        <v>71.760000000000005</v>
      </c>
    </row>
    <row r="193" spans="1:28"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s="2">
        <v>8</v>
      </c>
      <c r="T193" s="2">
        <v>0</v>
      </c>
      <c r="U193" s="2">
        <v>24.883199999999999</v>
      </c>
      <c r="V193" t="str">
        <f t="shared" si="10"/>
        <v>Valid</v>
      </c>
      <c r="W193" s="2">
        <v>267.07</v>
      </c>
      <c r="X193" s="2">
        <v>656.2656164</v>
      </c>
      <c r="Y193" s="2" t="str">
        <f t="shared" si="11"/>
        <v>Normal</v>
      </c>
      <c r="Z193">
        <f t="shared" si="12"/>
        <v>2</v>
      </c>
      <c r="AA193">
        <f t="shared" si="13"/>
        <v>0.47999999999999993</v>
      </c>
      <c r="AB193">
        <f t="shared" si="14"/>
        <v>51.84</v>
      </c>
    </row>
    <row r="194" spans="1:28"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2">
        <v>3</v>
      </c>
      <c r="T194" s="2">
        <v>0.2</v>
      </c>
      <c r="U194" s="2">
        <v>46.976399999999998</v>
      </c>
      <c r="V194" t="str">
        <f t="shared" si="10"/>
        <v>Valid</v>
      </c>
      <c r="W194" s="2">
        <v>267.07</v>
      </c>
      <c r="X194" s="2">
        <v>656.2656164</v>
      </c>
      <c r="Y194" s="2" t="str">
        <f t="shared" si="11"/>
        <v>Normal</v>
      </c>
      <c r="Z194">
        <f t="shared" si="12"/>
        <v>2</v>
      </c>
      <c r="AA194">
        <f t="shared" si="13"/>
        <v>7.4999999999999997E-2</v>
      </c>
      <c r="AB194">
        <f t="shared" si="14"/>
        <v>501.08159999999998</v>
      </c>
    </row>
    <row r="195" spans="1:28"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2">
        <v>5</v>
      </c>
      <c r="T195" s="2">
        <v>0</v>
      </c>
      <c r="U195" s="2">
        <v>6.5670000000000002</v>
      </c>
      <c r="V195" t="str">
        <f t="shared" ref="V195:V258" si="15">IF(D195&gt;=C195, "Valid", "Error")</f>
        <v>Valid</v>
      </c>
      <c r="W195" s="2">
        <v>267.07</v>
      </c>
      <c r="X195" s="2">
        <v>656.2656164</v>
      </c>
      <c r="Y195" s="2" t="str">
        <f t="shared" ref="Y195:Y258" si="16">IF(R195 &gt;(W195 + 3*X195), "High Outlier",  "Normal")</f>
        <v>Normal</v>
      </c>
      <c r="Z195">
        <f t="shared" ref="Z195:Z258" si="17">_xlfn.DAYS(D195,C195)</f>
        <v>2</v>
      </c>
      <c r="AA195">
        <f t="shared" ref="AA195:AA258" si="18">U195/R195</f>
        <v>0.33</v>
      </c>
      <c r="AB195">
        <f t="shared" ref="AB195:AB258" si="19">R195*(1-T195)</f>
        <v>19.899999999999999</v>
      </c>
    </row>
    <row r="196" spans="1:28"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s="2">
        <v>7</v>
      </c>
      <c r="T196" s="2">
        <v>0</v>
      </c>
      <c r="U196" s="2">
        <v>6.7115999999999998</v>
      </c>
      <c r="V196" t="str">
        <f t="shared" si="15"/>
        <v>Valid</v>
      </c>
      <c r="W196" s="2">
        <v>267.07</v>
      </c>
      <c r="X196" s="2">
        <v>656.2656164</v>
      </c>
      <c r="Y196" s="2" t="str">
        <f t="shared" si="16"/>
        <v>Normal</v>
      </c>
      <c r="Z196">
        <f t="shared" si="17"/>
        <v>6</v>
      </c>
      <c r="AA196">
        <f t="shared" si="18"/>
        <v>0.47000000000000003</v>
      </c>
      <c r="AB196">
        <f t="shared" si="19"/>
        <v>14.28</v>
      </c>
    </row>
    <row r="197" spans="1:28"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2">
        <v>2</v>
      </c>
      <c r="T197" s="2">
        <v>0.2</v>
      </c>
      <c r="U197" s="2">
        <v>1.2038</v>
      </c>
      <c r="V197" t="str">
        <f t="shared" si="15"/>
        <v>Valid</v>
      </c>
      <c r="W197" s="2">
        <v>267.07</v>
      </c>
      <c r="X197" s="2">
        <v>656.2656164</v>
      </c>
      <c r="Y197" s="2" t="str">
        <f t="shared" si="16"/>
        <v>Normal</v>
      </c>
      <c r="Z197">
        <f t="shared" si="17"/>
        <v>4</v>
      </c>
      <c r="AA197">
        <f t="shared" si="18"/>
        <v>0.16249999999999998</v>
      </c>
      <c r="AB197">
        <f t="shared" si="19"/>
        <v>5.926400000000001</v>
      </c>
    </row>
    <row r="198" spans="1:28"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s="2">
        <v>3</v>
      </c>
      <c r="T198" s="2">
        <v>0.2</v>
      </c>
      <c r="U198" s="2">
        <v>1.5875999999999999</v>
      </c>
      <c r="V198" t="str">
        <f t="shared" si="15"/>
        <v>Valid</v>
      </c>
      <c r="W198" s="2">
        <v>267.07</v>
      </c>
      <c r="X198" s="2">
        <v>656.2656164</v>
      </c>
      <c r="Y198" s="2" t="str">
        <f t="shared" si="16"/>
        <v>Normal</v>
      </c>
      <c r="Z198">
        <f t="shared" si="17"/>
        <v>4</v>
      </c>
      <c r="AA198">
        <f t="shared" si="18"/>
        <v>0.26249999999999996</v>
      </c>
      <c r="AB198">
        <f t="shared" si="19"/>
        <v>4.8384</v>
      </c>
    </row>
    <row r="199" spans="1:28"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s="2">
        <v>3</v>
      </c>
      <c r="T199" s="2">
        <v>0</v>
      </c>
      <c r="U199" s="2">
        <v>12.0276</v>
      </c>
      <c r="V199" t="str">
        <f t="shared" si="15"/>
        <v>Valid</v>
      </c>
      <c r="W199" s="2">
        <v>267.07</v>
      </c>
      <c r="X199" s="2">
        <v>656.2656164</v>
      </c>
      <c r="Y199" s="2" t="str">
        <f t="shared" si="16"/>
        <v>Normal</v>
      </c>
      <c r="Z199">
        <f t="shared" si="17"/>
        <v>7</v>
      </c>
      <c r="AA199">
        <f t="shared" si="18"/>
        <v>0.26</v>
      </c>
      <c r="AB199">
        <f t="shared" si="19"/>
        <v>46.26</v>
      </c>
    </row>
    <row r="200" spans="1:28"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2">
        <v>2</v>
      </c>
      <c r="T200" s="2">
        <v>0.7</v>
      </c>
      <c r="U200" s="2">
        <v>-2.2585999999999999</v>
      </c>
      <c r="V200" t="str">
        <f t="shared" si="15"/>
        <v>Valid</v>
      </c>
      <c r="W200" s="2">
        <v>267.07</v>
      </c>
      <c r="X200" s="2">
        <v>656.2656164</v>
      </c>
      <c r="Y200" s="2" t="str">
        <f t="shared" si="16"/>
        <v>Normal</v>
      </c>
      <c r="Z200">
        <f t="shared" si="17"/>
        <v>7</v>
      </c>
      <c r="AA200">
        <f t="shared" si="18"/>
        <v>-0.76666666666666661</v>
      </c>
      <c r="AB200">
        <f t="shared" si="19"/>
        <v>0.88380000000000014</v>
      </c>
    </row>
    <row r="201" spans="1:28"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2">
        <v>3</v>
      </c>
      <c r="T201" s="2">
        <v>0.2</v>
      </c>
      <c r="U201" s="2">
        <v>5.8202999999999996</v>
      </c>
      <c r="V201" t="str">
        <f t="shared" si="15"/>
        <v>Valid</v>
      </c>
      <c r="W201" s="2">
        <v>267.07</v>
      </c>
      <c r="X201" s="2">
        <v>656.2656164</v>
      </c>
      <c r="Y201" s="2" t="str">
        <f t="shared" si="16"/>
        <v>Normal</v>
      </c>
      <c r="Z201">
        <f t="shared" si="17"/>
        <v>7</v>
      </c>
      <c r="AA201">
        <f t="shared" si="18"/>
        <v>0.36249999999999993</v>
      </c>
      <c r="AB201">
        <f t="shared" si="19"/>
        <v>12.844800000000001</v>
      </c>
    </row>
    <row r="202" spans="1:28"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s="2">
        <v>3</v>
      </c>
      <c r="T202" s="2">
        <v>0.2</v>
      </c>
      <c r="U202" s="2">
        <v>6.7949999999999999</v>
      </c>
      <c r="V202" t="str">
        <f t="shared" si="15"/>
        <v>Valid</v>
      </c>
      <c r="W202" s="2">
        <v>267.07</v>
      </c>
      <c r="X202" s="2">
        <v>656.2656164</v>
      </c>
      <c r="Y202" s="2" t="str">
        <f t="shared" si="16"/>
        <v>Normal</v>
      </c>
      <c r="Z202">
        <f t="shared" si="17"/>
        <v>5</v>
      </c>
      <c r="AA202">
        <f t="shared" si="18"/>
        <v>0.3125</v>
      </c>
      <c r="AB202">
        <f t="shared" si="19"/>
        <v>17.395199999999999</v>
      </c>
    </row>
    <row r="203" spans="1:28"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s="2">
        <v>2</v>
      </c>
      <c r="T203" s="2">
        <v>0.5</v>
      </c>
      <c r="U203" s="2">
        <v>-161.875</v>
      </c>
      <c r="V203" t="str">
        <f t="shared" si="15"/>
        <v>Valid</v>
      </c>
      <c r="W203" s="2">
        <v>267.07</v>
      </c>
      <c r="X203" s="2">
        <v>656.2656164</v>
      </c>
      <c r="Y203" s="2" t="str">
        <f t="shared" si="16"/>
        <v>Normal</v>
      </c>
      <c r="Z203">
        <f t="shared" si="17"/>
        <v>2</v>
      </c>
      <c r="AA203">
        <f t="shared" si="18"/>
        <v>-0.74</v>
      </c>
      <c r="AB203">
        <f t="shared" si="19"/>
        <v>109.375</v>
      </c>
    </row>
    <row r="204" spans="1:28"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s="2">
        <v>1</v>
      </c>
      <c r="T204" s="2">
        <v>0.2</v>
      </c>
      <c r="U204" s="2">
        <v>0.29249999999999998</v>
      </c>
      <c r="V204" t="str">
        <f t="shared" si="15"/>
        <v>Valid</v>
      </c>
      <c r="W204" s="2">
        <v>267.07</v>
      </c>
      <c r="X204" s="2">
        <v>656.2656164</v>
      </c>
      <c r="Y204" s="2" t="str">
        <f t="shared" si="16"/>
        <v>Normal</v>
      </c>
      <c r="Z204">
        <f t="shared" si="17"/>
        <v>2</v>
      </c>
      <c r="AA204">
        <f t="shared" si="18"/>
        <v>0.11249999999999999</v>
      </c>
      <c r="AB204">
        <f t="shared" si="19"/>
        <v>2.08</v>
      </c>
    </row>
    <row r="205" spans="1:28"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2">
        <v>2</v>
      </c>
      <c r="T205" s="2">
        <v>0.8</v>
      </c>
      <c r="U205" s="2">
        <v>-178.96680000000001</v>
      </c>
      <c r="V205" t="str">
        <f t="shared" si="15"/>
        <v>Valid</v>
      </c>
      <c r="W205" s="2">
        <v>267.07</v>
      </c>
      <c r="X205" s="2">
        <v>656.2656164</v>
      </c>
      <c r="Y205" s="2" t="str">
        <f t="shared" si="16"/>
        <v>Normal</v>
      </c>
      <c r="Z205">
        <f t="shared" si="17"/>
        <v>4</v>
      </c>
      <c r="AA205">
        <f t="shared" si="18"/>
        <v>-2.6999999999999997</v>
      </c>
      <c r="AB205">
        <f t="shared" si="19"/>
        <v>13.256799999999998</v>
      </c>
    </row>
    <row r="206" spans="1:28"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2">
        <v>7</v>
      </c>
      <c r="T206" s="2">
        <v>0.2</v>
      </c>
      <c r="U206" s="2">
        <v>9.6712000000000007</v>
      </c>
      <c r="V206" t="str">
        <f t="shared" si="15"/>
        <v>Valid</v>
      </c>
      <c r="W206" s="2">
        <v>267.07</v>
      </c>
      <c r="X206" s="2">
        <v>656.2656164</v>
      </c>
      <c r="Y206" s="2" t="str">
        <f t="shared" si="16"/>
        <v>Normal</v>
      </c>
      <c r="Z206">
        <f t="shared" si="17"/>
        <v>4</v>
      </c>
      <c r="AA206">
        <f t="shared" si="18"/>
        <v>0.27500000000000002</v>
      </c>
      <c r="AB206">
        <f t="shared" si="19"/>
        <v>28.134399999999999</v>
      </c>
    </row>
    <row r="207" spans="1:28"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2">
        <v>4</v>
      </c>
      <c r="T207" s="2">
        <v>0.2</v>
      </c>
      <c r="U207" s="2">
        <v>44.476799999999997</v>
      </c>
      <c r="V207" t="str">
        <f t="shared" si="15"/>
        <v>Valid</v>
      </c>
      <c r="W207" s="2">
        <v>267.07</v>
      </c>
      <c r="X207" s="2">
        <v>656.2656164</v>
      </c>
      <c r="Y207" s="2" t="str">
        <f t="shared" si="16"/>
        <v>Normal</v>
      </c>
      <c r="Z207">
        <f t="shared" si="17"/>
        <v>5</v>
      </c>
      <c r="AA207">
        <f t="shared" si="18"/>
        <v>0.1</v>
      </c>
      <c r="AB207">
        <f t="shared" si="19"/>
        <v>355.81439999999998</v>
      </c>
    </row>
    <row r="208" spans="1:28"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s="2">
        <v>4</v>
      </c>
      <c r="T208" s="2">
        <v>0</v>
      </c>
      <c r="U208" s="2">
        <v>5.8743999999999996</v>
      </c>
      <c r="V208" t="str">
        <f t="shared" si="15"/>
        <v>Valid</v>
      </c>
      <c r="W208" s="2">
        <v>267.07</v>
      </c>
      <c r="X208" s="2">
        <v>656.2656164</v>
      </c>
      <c r="Y208" s="2" t="str">
        <f t="shared" si="16"/>
        <v>Normal</v>
      </c>
      <c r="Z208">
        <f t="shared" si="17"/>
        <v>6</v>
      </c>
      <c r="AA208">
        <f t="shared" si="18"/>
        <v>6.9999999999999993E-2</v>
      </c>
      <c r="AB208">
        <f t="shared" si="19"/>
        <v>83.92</v>
      </c>
    </row>
    <row r="209" spans="1:28"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2">
        <v>2</v>
      </c>
      <c r="T209" s="2">
        <v>0</v>
      </c>
      <c r="U209" s="2">
        <v>35.634599999999999</v>
      </c>
      <c r="V209" t="str">
        <f t="shared" si="15"/>
        <v>Valid</v>
      </c>
      <c r="W209" s="2">
        <v>267.07</v>
      </c>
      <c r="X209" s="2">
        <v>656.2656164</v>
      </c>
      <c r="Y209" s="2" t="str">
        <f t="shared" si="16"/>
        <v>Normal</v>
      </c>
      <c r="Z209">
        <f t="shared" si="17"/>
        <v>6</v>
      </c>
      <c r="AA209">
        <f t="shared" si="18"/>
        <v>0.27</v>
      </c>
      <c r="AB209">
        <f t="shared" si="19"/>
        <v>131.97999999999999</v>
      </c>
    </row>
    <row r="210" spans="1:28"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s="2">
        <v>4</v>
      </c>
      <c r="T210" s="2">
        <v>0</v>
      </c>
      <c r="U210" s="2">
        <v>7.4824000000000002</v>
      </c>
      <c r="V210" t="str">
        <f t="shared" si="15"/>
        <v>Valid</v>
      </c>
      <c r="W210" s="2">
        <v>267.07</v>
      </c>
      <c r="X210" s="2">
        <v>656.2656164</v>
      </c>
      <c r="Y210" s="2" t="str">
        <f t="shared" si="16"/>
        <v>Normal</v>
      </c>
      <c r="Z210">
        <f t="shared" si="17"/>
        <v>6</v>
      </c>
      <c r="AA210">
        <f t="shared" si="18"/>
        <v>0.47000000000000003</v>
      </c>
      <c r="AB210">
        <f t="shared" si="19"/>
        <v>15.92</v>
      </c>
    </row>
    <row r="211" spans="1:28"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s="2">
        <v>9</v>
      </c>
      <c r="T211" s="2">
        <v>0</v>
      </c>
      <c r="U211" s="2">
        <v>16.209900000000001</v>
      </c>
      <c r="V211" t="str">
        <f t="shared" si="15"/>
        <v>Valid</v>
      </c>
      <c r="W211" s="2">
        <v>267.07</v>
      </c>
      <c r="X211" s="2">
        <v>656.2656164</v>
      </c>
      <c r="Y211" s="2" t="str">
        <f t="shared" si="16"/>
        <v>Normal</v>
      </c>
      <c r="Z211">
        <f t="shared" si="17"/>
        <v>6</v>
      </c>
      <c r="AA211">
        <f t="shared" si="18"/>
        <v>0.31000000000000005</v>
      </c>
      <c r="AB211">
        <f t="shared" si="19"/>
        <v>52.29</v>
      </c>
    </row>
    <row r="212" spans="1:28"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s="2">
        <v>1</v>
      </c>
      <c r="T212" s="2">
        <v>0</v>
      </c>
      <c r="U212" s="2">
        <v>3.6796000000000002</v>
      </c>
      <c r="V212" t="str">
        <f t="shared" si="15"/>
        <v>Valid</v>
      </c>
      <c r="W212" s="2">
        <v>267.07</v>
      </c>
      <c r="X212" s="2">
        <v>656.2656164</v>
      </c>
      <c r="Y212" s="2" t="str">
        <f t="shared" si="16"/>
        <v>Normal</v>
      </c>
      <c r="Z212">
        <f t="shared" si="17"/>
        <v>6</v>
      </c>
      <c r="AA212">
        <f t="shared" si="18"/>
        <v>4.0000000000000008E-2</v>
      </c>
      <c r="AB212">
        <f t="shared" si="19"/>
        <v>91.99</v>
      </c>
    </row>
    <row r="213" spans="1:28"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s="2">
        <v>2</v>
      </c>
      <c r="T213" s="2">
        <v>0.2</v>
      </c>
      <c r="U213" s="2">
        <v>6.5</v>
      </c>
      <c r="V213" t="str">
        <f t="shared" si="15"/>
        <v>Valid</v>
      </c>
      <c r="W213" s="2">
        <v>267.07</v>
      </c>
      <c r="X213" s="2">
        <v>656.2656164</v>
      </c>
      <c r="Y213" s="2" t="str">
        <f t="shared" si="16"/>
        <v>Normal</v>
      </c>
      <c r="Z213">
        <f t="shared" si="17"/>
        <v>4</v>
      </c>
      <c r="AA213">
        <f t="shared" si="18"/>
        <v>0.3125</v>
      </c>
      <c r="AB213">
        <f t="shared" si="19"/>
        <v>16.64</v>
      </c>
    </row>
    <row r="214" spans="1:28"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s="2">
        <v>2</v>
      </c>
      <c r="T214" s="2">
        <v>0.2</v>
      </c>
      <c r="U214" s="2">
        <v>8.8800000000000008</v>
      </c>
      <c r="V214" t="str">
        <f t="shared" si="15"/>
        <v>Valid</v>
      </c>
      <c r="W214" s="2">
        <v>267.07</v>
      </c>
      <c r="X214" s="2">
        <v>656.2656164</v>
      </c>
      <c r="Y214" s="2" t="str">
        <f t="shared" si="16"/>
        <v>Normal</v>
      </c>
      <c r="Z214">
        <f t="shared" si="17"/>
        <v>7</v>
      </c>
      <c r="AA214">
        <f t="shared" si="18"/>
        <v>0.37500000000000006</v>
      </c>
      <c r="AB214">
        <f t="shared" si="19"/>
        <v>18.943999999999999</v>
      </c>
    </row>
    <row r="215" spans="1:28"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s="2">
        <v>5</v>
      </c>
      <c r="T215" s="2">
        <v>0.5</v>
      </c>
      <c r="U215" s="2">
        <v>-244.32300000000001</v>
      </c>
      <c r="V215" t="str">
        <f t="shared" si="15"/>
        <v>Valid</v>
      </c>
      <c r="W215" s="2">
        <v>267.07</v>
      </c>
      <c r="X215" s="2">
        <v>656.2656164</v>
      </c>
      <c r="Y215" s="2" t="str">
        <f t="shared" si="16"/>
        <v>Normal</v>
      </c>
      <c r="Z215">
        <f t="shared" si="17"/>
        <v>7</v>
      </c>
      <c r="AA215">
        <f t="shared" si="18"/>
        <v>-0.54</v>
      </c>
      <c r="AB215">
        <f t="shared" si="19"/>
        <v>226.22499999999999</v>
      </c>
    </row>
    <row r="216" spans="1:28"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2">
        <v>3</v>
      </c>
      <c r="T216" s="2">
        <v>0.4</v>
      </c>
      <c r="U216" s="2">
        <v>-14.6958</v>
      </c>
      <c r="V216" t="str">
        <f t="shared" si="15"/>
        <v>Valid</v>
      </c>
      <c r="W216" s="2">
        <v>267.07</v>
      </c>
      <c r="X216" s="2">
        <v>656.2656164</v>
      </c>
      <c r="Y216" s="2" t="str">
        <f t="shared" si="16"/>
        <v>Normal</v>
      </c>
      <c r="Z216">
        <f t="shared" si="17"/>
        <v>7</v>
      </c>
      <c r="AA216">
        <f t="shared" si="18"/>
        <v>-0.23333333333333334</v>
      </c>
      <c r="AB216">
        <f t="shared" si="19"/>
        <v>37.789200000000001</v>
      </c>
    </row>
    <row r="217" spans="1:28"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s="2">
        <v>9</v>
      </c>
      <c r="T217" s="2">
        <v>0.7</v>
      </c>
      <c r="U217" s="2">
        <v>-950.4</v>
      </c>
      <c r="V217" t="str">
        <f t="shared" si="15"/>
        <v>Valid</v>
      </c>
      <c r="W217" s="2">
        <v>267.07</v>
      </c>
      <c r="X217" s="2">
        <v>656.2656164</v>
      </c>
      <c r="Y217" s="2" t="str">
        <f t="shared" si="16"/>
        <v>Normal</v>
      </c>
      <c r="Z217">
        <f t="shared" si="17"/>
        <v>7</v>
      </c>
      <c r="AA217">
        <f t="shared" si="18"/>
        <v>-0.79999999999999993</v>
      </c>
      <c r="AB217">
        <f t="shared" si="19"/>
        <v>356.40000000000003</v>
      </c>
    </row>
    <row r="218" spans="1:28"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2">
        <v>2</v>
      </c>
      <c r="T218" s="2">
        <v>0.2</v>
      </c>
      <c r="U218" s="2">
        <v>4.4791999999999996</v>
      </c>
      <c r="V218" t="str">
        <f t="shared" si="15"/>
        <v>Valid</v>
      </c>
      <c r="W218" s="2">
        <v>267.07</v>
      </c>
      <c r="X218" s="2">
        <v>656.2656164</v>
      </c>
      <c r="Y218" s="2" t="str">
        <f t="shared" si="16"/>
        <v>Normal</v>
      </c>
      <c r="Z218">
        <f t="shared" si="17"/>
        <v>7</v>
      </c>
      <c r="AA218">
        <f t="shared" si="18"/>
        <v>4.9999999999999996E-2</v>
      </c>
      <c r="AB218">
        <f t="shared" si="19"/>
        <v>71.667200000000008</v>
      </c>
    </row>
    <row r="219" spans="1:28"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s="2">
        <v>6</v>
      </c>
      <c r="T219" s="2">
        <v>0</v>
      </c>
      <c r="U219" s="2">
        <v>26.056799999999999</v>
      </c>
      <c r="V219" t="str">
        <f t="shared" si="15"/>
        <v>Valid</v>
      </c>
      <c r="W219" s="2">
        <v>267.07</v>
      </c>
      <c r="X219" s="2">
        <v>656.2656164</v>
      </c>
      <c r="Y219" s="2" t="str">
        <f t="shared" si="16"/>
        <v>Normal</v>
      </c>
      <c r="Z219">
        <f t="shared" si="17"/>
        <v>4</v>
      </c>
      <c r="AA219">
        <f t="shared" si="18"/>
        <v>0.27999999999999997</v>
      </c>
      <c r="AB219">
        <f t="shared" si="19"/>
        <v>93.06</v>
      </c>
    </row>
    <row r="220" spans="1:28"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2">
        <v>3</v>
      </c>
      <c r="T220" s="2">
        <v>0.2</v>
      </c>
      <c r="U220" s="2">
        <v>22.6782</v>
      </c>
      <c r="V220" t="str">
        <f t="shared" si="15"/>
        <v>Valid</v>
      </c>
      <c r="W220" s="2">
        <v>267.07</v>
      </c>
      <c r="X220" s="2">
        <v>656.2656164</v>
      </c>
      <c r="Y220" s="2" t="str">
        <f t="shared" si="16"/>
        <v>Normal</v>
      </c>
      <c r="Z220">
        <f t="shared" si="17"/>
        <v>4</v>
      </c>
      <c r="AA220">
        <f t="shared" si="18"/>
        <v>7.5000000000000011E-2</v>
      </c>
      <c r="AB220">
        <f t="shared" si="19"/>
        <v>241.9008</v>
      </c>
    </row>
    <row r="221" spans="1:28"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2">
        <v>2</v>
      </c>
      <c r="T221" s="2">
        <v>0.2</v>
      </c>
      <c r="U221" s="2">
        <v>1.8148</v>
      </c>
      <c r="V221" t="str">
        <f t="shared" si="15"/>
        <v>Valid</v>
      </c>
      <c r="W221" s="2">
        <v>267.07</v>
      </c>
      <c r="X221" s="2">
        <v>656.2656164</v>
      </c>
      <c r="Y221" s="2" t="str">
        <f t="shared" si="16"/>
        <v>Normal</v>
      </c>
      <c r="Z221">
        <f t="shared" si="17"/>
        <v>3</v>
      </c>
      <c r="AA221">
        <f t="shared" si="18"/>
        <v>0.32500000000000001</v>
      </c>
      <c r="AB221">
        <f t="shared" si="19"/>
        <v>4.4672000000000001</v>
      </c>
    </row>
    <row r="222" spans="1:28"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2">
        <v>6</v>
      </c>
      <c r="T222" s="2">
        <v>0.2</v>
      </c>
      <c r="U222" s="2">
        <v>8.2302</v>
      </c>
      <c r="V222" t="str">
        <f t="shared" si="15"/>
        <v>Valid</v>
      </c>
      <c r="W222" s="2">
        <v>267.07</v>
      </c>
      <c r="X222" s="2">
        <v>656.2656164</v>
      </c>
      <c r="Y222" s="2" t="str">
        <f t="shared" si="16"/>
        <v>Normal</v>
      </c>
      <c r="Z222">
        <f t="shared" si="17"/>
        <v>3</v>
      </c>
      <c r="AA222">
        <f t="shared" si="18"/>
        <v>0.36249999999999999</v>
      </c>
      <c r="AB222">
        <f t="shared" si="19"/>
        <v>18.1632</v>
      </c>
    </row>
    <row r="223" spans="1:28"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s="2">
        <v>4</v>
      </c>
      <c r="T223" s="2">
        <v>0.7</v>
      </c>
      <c r="U223" s="2">
        <v>-13.8432</v>
      </c>
      <c r="V223" t="str">
        <f t="shared" si="15"/>
        <v>Valid</v>
      </c>
      <c r="W223" s="2">
        <v>267.07</v>
      </c>
      <c r="X223" s="2">
        <v>656.2656164</v>
      </c>
      <c r="Y223" s="2" t="str">
        <f t="shared" si="16"/>
        <v>Normal</v>
      </c>
      <c r="Z223">
        <f t="shared" si="17"/>
        <v>3</v>
      </c>
      <c r="AA223">
        <f t="shared" si="18"/>
        <v>-0.7</v>
      </c>
      <c r="AB223">
        <f t="shared" si="19"/>
        <v>5.9328000000000012</v>
      </c>
    </row>
    <row r="224" spans="1:28"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2">
        <v>4</v>
      </c>
      <c r="T224" s="2">
        <v>0.2</v>
      </c>
      <c r="U224" s="2">
        <v>19.084800000000001</v>
      </c>
      <c r="V224" t="str">
        <f t="shared" si="15"/>
        <v>Valid</v>
      </c>
      <c r="W224" s="2">
        <v>267.07</v>
      </c>
      <c r="X224" s="2">
        <v>656.2656164</v>
      </c>
      <c r="Y224" s="2" t="str">
        <f t="shared" si="16"/>
        <v>Normal</v>
      </c>
      <c r="Z224">
        <f t="shared" si="17"/>
        <v>3</v>
      </c>
      <c r="AA224">
        <f t="shared" si="18"/>
        <v>0.26250000000000007</v>
      </c>
      <c r="AB224">
        <f t="shared" si="19"/>
        <v>58.163199999999996</v>
      </c>
    </row>
    <row r="225" spans="1:28"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s="2">
        <v>4</v>
      </c>
      <c r="T225" s="2">
        <v>0.7</v>
      </c>
      <c r="U225" s="2">
        <v>-383.99040000000002</v>
      </c>
      <c r="V225" t="str">
        <f t="shared" si="15"/>
        <v>Valid</v>
      </c>
      <c r="W225" s="2">
        <v>267.07</v>
      </c>
      <c r="X225" s="2">
        <v>656.2656164</v>
      </c>
      <c r="Y225" s="2" t="str">
        <f t="shared" si="16"/>
        <v>Normal</v>
      </c>
      <c r="Z225">
        <f t="shared" si="17"/>
        <v>3</v>
      </c>
      <c r="AA225">
        <f t="shared" si="18"/>
        <v>-0.8</v>
      </c>
      <c r="AB225">
        <f t="shared" si="19"/>
        <v>143.99640000000002</v>
      </c>
    </row>
    <row r="226" spans="1:28"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2">
        <v>2</v>
      </c>
      <c r="T226" s="2">
        <v>0.2</v>
      </c>
      <c r="U226" s="2">
        <v>2.7168000000000001</v>
      </c>
      <c r="V226" t="str">
        <f t="shared" si="15"/>
        <v>Valid</v>
      </c>
      <c r="W226" s="2">
        <v>267.07</v>
      </c>
      <c r="X226" s="2">
        <v>656.2656164</v>
      </c>
      <c r="Y226" s="2" t="str">
        <f t="shared" si="16"/>
        <v>Normal</v>
      </c>
      <c r="Z226">
        <f t="shared" si="17"/>
        <v>3</v>
      </c>
      <c r="AA226">
        <f t="shared" si="18"/>
        <v>0.1</v>
      </c>
      <c r="AB226">
        <f t="shared" si="19"/>
        <v>21.734400000000001</v>
      </c>
    </row>
    <row r="227" spans="1:28"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2">
        <v>1</v>
      </c>
      <c r="T227" s="2">
        <v>0</v>
      </c>
      <c r="U227" s="2">
        <v>0.96799999999999997</v>
      </c>
      <c r="V227" t="str">
        <f t="shared" si="15"/>
        <v>Valid</v>
      </c>
      <c r="W227" s="2">
        <v>267.07</v>
      </c>
      <c r="X227" s="2">
        <v>656.2656164</v>
      </c>
      <c r="Y227" s="2" t="str">
        <f t="shared" si="16"/>
        <v>Normal</v>
      </c>
      <c r="Z227">
        <f t="shared" si="17"/>
        <v>7</v>
      </c>
      <c r="AA227">
        <f t="shared" si="18"/>
        <v>0.43999999999999995</v>
      </c>
      <c r="AB227">
        <f t="shared" si="19"/>
        <v>2.2000000000000002</v>
      </c>
    </row>
    <row r="228" spans="1:28"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2">
        <v>5</v>
      </c>
      <c r="T228" s="2">
        <v>0</v>
      </c>
      <c r="U228" s="2">
        <v>136.93899999999999</v>
      </c>
      <c r="V228" t="str">
        <f t="shared" si="15"/>
        <v>Valid</v>
      </c>
      <c r="W228" s="2">
        <v>267.07</v>
      </c>
      <c r="X228" s="2">
        <v>656.2656164</v>
      </c>
      <c r="Y228" s="2" t="str">
        <f t="shared" si="16"/>
        <v>Normal</v>
      </c>
      <c r="Z228">
        <f t="shared" si="17"/>
        <v>7</v>
      </c>
      <c r="AA228">
        <f t="shared" si="18"/>
        <v>0.21999999999999997</v>
      </c>
      <c r="AB228">
        <f t="shared" si="19"/>
        <v>622.45000000000005</v>
      </c>
    </row>
    <row r="229" spans="1:28"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s="2">
        <v>1</v>
      </c>
      <c r="T229" s="2">
        <v>0</v>
      </c>
      <c r="U229" s="2">
        <v>0.2198</v>
      </c>
      <c r="V229" t="str">
        <f t="shared" si="15"/>
        <v>Valid</v>
      </c>
      <c r="W229" s="2">
        <v>267.07</v>
      </c>
      <c r="X229" s="2">
        <v>656.2656164</v>
      </c>
      <c r="Y229" s="2" t="str">
        <f t="shared" si="16"/>
        <v>Normal</v>
      </c>
      <c r="Z229">
        <f t="shared" si="17"/>
        <v>7</v>
      </c>
      <c r="AA229">
        <f t="shared" si="18"/>
        <v>0.01</v>
      </c>
      <c r="AB229">
        <f t="shared" si="19"/>
        <v>21.98</v>
      </c>
    </row>
    <row r="230" spans="1:28"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2">
        <v>2</v>
      </c>
      <c r="T230" s="2">
        <v>0.2</v>
      </c>
      <c r="U230" s="2">
        <v>-28.2744</v>
      </c>
      <c r="V230" t="str">
        <f t="shared" si="15"/>
        <v>Valid</v>
      </c>
      <c r="W230" s="2">
        <v>267.07</v>
      </c>
      <c r="X230" s="2">
        <v>656.2656164</v>
      </c>
      <c r="Y230" s="2" t="str">
        <f t="shared" si="16"/>
        <v>Normal</v>
      </c>
      <c r="Z230">
        <f t="shared" si="17"/>
        <v>4</v>
      </c>
      <c r="AA230">
        <f t="shared" si="18"/>
        <v>-0.17499999999999999</v>
      </c>
      <c r="AB230">
        <f t="shared" si="19"/>
        <v>129.2544</v>
      </c>
    </row>
    <row r="231" spans="1:28"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2">
        <v>8</v>
      </c>
      <c r="T231" s="2">
        <v>0.2</v>
      </c>
      <c r="U231" s="2">
        <v>43.840800000000002</v>
      </c>
      <c r="V231" t="str">
        <f t="shared" si="15"/>
        <v>Valid</v>
      </c>
      <c r="W231" s="2">
        <v>267.07</v>
      </c>
      <c r="X231" s="2">
        <v>656.2656164</v>
      </c>
      <c r="Y231" s="2" t="str">
        <f t="shared" si="16"/>
        <v>Normal</v>
      </c>
      <c r="Z231">
        <f t="shared" si="17"/>
        <v>4</v>
      </c>
      <c r="AA231">
        <f t="shared" si="18"/>
        <v>0.1125</v>
      </c>
      <c r="AB231">
        <f t="shared" si="19"/>
        <v>311.75680000000006</v>
      </c>
    </row>
    <row r="232" spans="1:28"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s="2">
        <v>7</v>
      </c>
      <c r="T232" s="2">
        <v>0.7</v>
      </c>
      <c r="U232" s="2">
        <v>-12.432</v>
      </c>
      <c r="V232" t="str">
        <f t="shared" si="15"/>
        <v>Valid</v>
      </c>
      <c r="W232" s="2">
        <v>267.07</v>
      </c>
      <c r="X232" s="2">
        <v>656.2656164</v>
      </c>
      <c r="Y232" s="2" t="str">
        <f t="shared" si="16"/>
        <v>Normal</v>
      </c>
      <c r="Z232">
        <f t="shared" si="17"/>
        <v>4</v>
      </c>
      <c r="AA232">
        <f t="shared" si="18"/>
        <v>-0.66666666666666674</v>
      </c>
      <c r="AB232">
        <f t="shared" si="19"/>
        <v>5.5944000000000011</v>
      </c>
    </row>
    <row r="233" spans="1:28"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s="2">
        <v>2</v>
      </c>
      <c r="T233" s="2">
        <v>0.45</v>
      </c>
      <c r="U233" s="2">
        <v>-102.048</v>
      </c>
      <c r="V233" t="str">
        <f t="shared" si="15"/>
        <v>Valid</v>
      </c>
      <c r="W233" s="2">
        <v>267.07</v>
      </c>
      <c r="X233" s="2">
        <v>656.2656164</v>
      </c>
      <c r="Y233" s="2" t="str">
        <f t="shared" si="16"/>
        <v>Normal</v>
      </c>
      <c r="Z233">
        <f t="shared" si="17"/>
        <v>5</v>
      </c>
      <c r="AA233">
        <f t="shared" si="18"/>
        <v>-0.43636363636363634</v>
      </c>
      <c r="AB233">
        <f t="shared" si="19"/>
        <v>128.62300000000002</v>
      </c>
    </row>
    <row r="234" spans="1:28"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2">
        <v>3</v>
      </c>
      <c r="T234" s="2">
        <v>0.45</v>
      </c>
      <c r="U234" s="2">
        <v>-248.2458</v>
      </c>
      <c r="V234" t="str">
        <f t="shared" si="15"/>
        <v>Valid</v>
      </c>
      <c r="W234" s="2">
        <v>267.07</v>
      </c>
      <c r="X234" s="2">
        <v>656.2656164</v>
      </c>
      <c r="Y234" s="2" t="str">
        <f t="shared" si="16"/>
        <v>Normal</v>
      </c>
      <c r="Z234">
        <f t="shared" si="17"/>
        <v>5</v>
      </c>
      <c r="AA234">
        <f t="shared" si="18"/>
        <v>-0.39999999999999997</v>
      </c>
      <c r="AB234">
        <f t="shared" si="19"/>
        <v>341.33797500000003</v>
      </c>
    </row>
    <row r="235" spans="1:28"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2">
        <v>2</v>
      </c>
      <c r="T235" s="2">
        <v>0.7</v>
      </c>
      <c r="U235" s="2">
        <v>-3.552</v>
      </c>
      <c r="V235" t="str">
        <f t="shared" si="15"/>
        <v>Valid</v>
      </c>
      <c r="W235" s="2">
        <v>267.07</v>
      </c>
      <c r="X235" s="2">
        <v>656.2656164</v>
      </c>
      <c r="Y235" s="2" t="str">
        <f t="shared" si="16"/>
        <v>Normal</v>
      </c>
      <c r="Z235">
        <f t="shared" si="17"/>
        <v>5</v>
      </c>
      <c r="AA235">
        <f t="shared" si="18"/>
        <v>-0.66666666666666663</v>
      </c>
      <c r="AB235">
        <f t="shared" si="19"/>
        <v>1.5984000000000003</v>
      </c>
    </row>
    <row r="236" spans="1:28"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s="2">
        <v>3</v>
      </c>
      <c r="T236" s="2">
        <v>0.2</v>
      </c>
      <c r="U236" s="2">
        <v>0</v>
      </c>
      <c r="V236" t="str">
        <f t="shared" si="15"/>
        <v>Valid</v>
      </c>
      <c r="W236" s="2">
        <v>267.07</v>
      </c>
      <c r="X236" s="2">
        <v>656.2656164</v>
      </c>
      <c r="Y236" s="2" t="str">
        <f t="shared" si="16"/>
        <v>Normal</v>
      </c>
      <c r="Z236">
        <f t="shared" si="17"/>
        <v>5</v>
      </c>
      <c r="AA236">
        <f t="shared" si="18"/>
        <v>0</v>
      </c>
      <c r="AB236">
        <f t="shared" si="19"/>
        <v>206.45760000000001</v>
      </c>
    </row>
    <row r="237" spans="1:28"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s="2">
        <v>3</v>
      </c>
      <c r="T237" s="2">
        <v>0.2</v>
      </c>
      <c r="U237" s="2">
        <v>-7.7247000000000003</v>
      </c>
      <c r="V237" t="str">
        <f t="shared" si="15"/>
        <v>Valid</v>
      </c>
      <c r="W237" s="2">
        <v>267.07</v>
      </c>
      <c r="X237" s="2">
        <v>656.2656164</v>
      </c>
      <c r="Y237" s="2" t="str">
        <f t="shared" si="16"/>
        <v>Normal</v>
      </c>
      <c r="Z237">
        <f t="shared" si="17"/>
        <v>5</v>
      </c>
      <c r="AA237">
        <f t="shared" si="18"/>
        <v>-1.2500000000000001E-2</v>
      </c>
      <c r="AB237">
        <f t="shared" si="19"/>
        <v>494.38080000000002</v>
      </c>
    </row>
    <row r="238" spans="1:28"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s="2">
        <v>2</v>
      </c>
      <c r="T238" s="2">
        <v>0</v>
      </c>
      <c r="U238" s="2">
        <v>4.7519999999999998</v>
      </c>
      <c r="V238" t="str">
        <f t="shared" si="15"/>
        <v>Valid</v>
      </c>
      <c r="W238" s="2">
        <v>267.07</v>
      </c>
      <c r="X238" s="2">
        <v>656.2656164</v>
      </c>
      <c r="Y238" s="2" t="str">
        <f t="shared" si="16"/>
        <v>Normal</v>
      </c>
      <c r="Z238">
        <f t="shared" si="17"/>
        <v>4</v>
      </c>
      <c r="AA238">
        <f t="shared" si="18"/>
        <v>0.44999999999999996</v>
      </c>
      <c r="AB238">
        <f t="shared" si="19"/>
        <v>10.56</v>
      </c>
    </row>
    <row r="239" spans="1:28"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s="2">
        <v>5</v>
      </c>
      <c r="T239" s="2">
        <v>0.2</v>
      </c>
      <c r="U239" s="2">
        <v>9.3960000000000008</v>
      </c>
      <c r="V239" t="str">
        <f t="shared" si="15"/>
        <v>Valid</v>
      </c>
      <c r="W239" s="2">
        <v>267.07</v>
      </c>
      <c r="X239" s="2">
        <v>656.2656164</v>
      </c>
      <c r="Y239" s="2" t="str">
        <f t="shared" si="16"/>
        <v>Normal</v>
      </c>
      <c r="Z239">
        <f t="shared" si="17"/>
        <v>5</v>
      </c>
      <c r="AA239">
        <f t="shared" si="18"/>
        <v>0.36249999999999999</v>
      </c>
      <c r="AB239">
        <f t="shared" si="19"/>
        <v>20.736000000000004</v>
      </c>
    </row>
    <row r="240" spans="1:28"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s="2">
        <v>5</v>
      </c>
      <c r="T240" s="2">
        <v>0.6</v>
      </c>
      <c r="U240" s="2">
        <v>-356.72800000000001</v>
      </c>
      <c r="V240" t="str">
        <f t="shared" si="15"/>
        <v>Valid</v>
      </c>
      <c r="W240" s="2">
        <v>267.07</v>
      </c>
      <c r="X240" s="2">
        <v>656.2656164</v>
      </c>
      <c r="Y240" s="2" t="str">
        <f t="shared" si="16"/>
        <v>Normal</v>
      </c>
      <c r="Z240">
        <f t="shared" si="17"/>
        <v>5</v>
      </c>
      <c r="AA240">
        <f t="shared" si="18"/>
        <v>-0.85</v>
      </c>
      <c r="AB240">
        <f t="shared" si="19"/>
        <v>167.87200000000001</v>
      </c>
    </row>
    <row r="241" spans="1:28"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2">
        <v>3</v>
      </c>
      <c r="T241" s="2">
        <v>0.6</v>
      </c>
      <c r="U241" s="2">
        <v>-4.6752000000000002</v>
      </c>
      <c r="V241" t="str">
        <f t="shared" si="15"/>
        <v>Valid</v>
      </c>
      <c r="W241" s="2">
        <v>267.07</v>
      </c>
      <c r="X241" s="2">
        <v>656.2656164</v>
      </c>
      <c r="Y241" s="2" t="str">
        <f t="shared" si="16"/>
        <v>Normal</v>
      </c>
      <c r="Z241">
        <f t="shared" si="17"/>
        <v>5</v>
      </c>
      <c r="AA241">
        <f t="shared" si="18"/>
        <v>-0.4</v>
      </c>
      <c r="AB241">
        <f t="shared" si="19"/>
        <v>4.6752000000000002</v>
      </c>
    </row>
    <row r="242" spans="1:28"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2">
        <v>2</v>
      </c>
      <c r="T242" s="2">
        <v>0.2</v>
      </c>
      <c r="U242" s="2">
        <v>11.1944</v>
      </c>
      <c r="V242" t="str">
        <f t="shared" si="15"/>
        <v>Valid</v>
      </c>
      <c r="W242" s="2">
        <v>267.07</v>
      </c>
      <c r="X242" s="2">
        <v>656.2656164</v>
      </c>
      <c r="Y242" s="2" t="str">
        <f t="shared" si="16"/>
        <v>Normal</v>
      </c>
      <c r="Z242">
        <f t="shared" si="17"/>
        <v>5</v>
      </c>
      <c r="AA242">
        <f t="shared" si="18"/>
        <v>0.35</v>
      </c>
      <c r="AB242">
        <f t="shared" si="19"/>
        <v>25.587200000000003</v>
      </c>
    </row>
    <row r="243" spans="1:28"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2">
        <v>5</v>
      </c>
      <c r="T243" s="2">
        <v>0.5</v>
      </c>
      <c r="U243" s="2">
        <v>-120.51300000000001</v>
      </c>
      <c r="V243" t="str">
        <f t="shared" si="15"/>
        <v>Valid</v>
      </c>
      <c r="W243" s="2">
        <v>267.07</v>
      </c>
      <c r="X243" s="2">
        <v>656.2656164</v>
      </c>
      <c r="Y243" s="2" t="str">
        <f t="shared" si="16"/>
        <v>Normal</v>
      </c>
      <c r="Z243">
        <f t="shared" si="17"/>
        <v>5</v>
      </c>
      <c r="AA243">
        <f t="shared" si="18"/>
        <v>-0.68</v>
      </c>
      <c r="AB243">
        <f t="shared" si="19"/>
        <v>88.612499999999997</v>
      </c>
    </row>
    <row r="244" spans="1:28"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2">
        <v>3</v>
      </c>
      <c r="T244" s="2">
        <v>0.6</v>
      </c>
      <c r="U244" s="2">
        <v>-2.8308</v>
      </c>
      <c r="V244" t="str">
        <f t="shared" si="15"/>
        <v>Valid</v>
      </c>
      <c r="W244" s="2">
        <v>267.07</v>
      </c>
      <c r="X244" s="2">
        <v>656.2656164</v>
      </c>
      <c r="Y244" s="2" t="str">
        <f t="shared" si="16"/>
        <v>Normal</v>
      </c>
      <c r="Z244">
        <f t="shared" si="17"/>
        <v>5</v>
      </c>
      <c r="AA244">
        <f t="shared" si="18"/>
        <v>-0.70000000000000007</v>
      </c>
      <c r="AB244">
        <f t="shared" si="19"/>
        <v>1.6175999999999999</v>
      </c>
    </row>
    <row r="245" spans="1:28"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2">
        <v>2</v>
      </c>
      <c r="T245" s="2">
        <v>0.2</v>
      </c>
      <c r="U245" s="2">
        <v>1.2038</v>
      </c>
      <c r="V245" t="str">
        <f t="shared" si="15"/>
        <v>Valid</v>
      </c>
      <c r="W245" s="2">
        <v>267.07</v>
      </c>
      <c r="X245" s="2">
        <v>656.2656164</v>
      </c>
      <c r="Y245" s="2" t="str">
        <f t="shared" si="16"/>
        <v>Normal</v>
      </c>
      <c r="Z245">
        <f t="shared" si="17"/>
        <v>5</v>
      </c>
      <c r="AA245">
        <f t="shared" si="18"/>
        <v>0.16249999999999998</v>
      </c>
      <c r="AB245">
        <f t="shared" si="19"/>
        <v>5.926400000000001</v>
      </c>
    </row>
    <row r="246" spans="1:28"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s="2">
        <v>7</v>
      </c>
      <c r="T246" s="2">
        <v>0</v>
      </c>
      <c r="U246" s="2">
        <v>580.5394</v>
      </c>
      <c r="V246" t="str">
        <f t="shared" si="15"/>
        <v>Valid</v>
      </c>
      <c r="W246" s="2">
        <v>267.07</v>
      </c>
      <c r="X246" s="2">
        <v>656.2656164</v>
      </c>
      <c r="Y246" s="2" t="str">
        <f t="shared" si="16"/>
        <v>Normal</v>
      </c>
      <c r="Z246">
        <f t="shared" si="17"/>
        <v>5</v>
      </c>
      <c r="AA246">
        <f t="shared" si="18"/>
        <v>0.29000000000000004</v>
      </c>
      <c r="AB246">
        <f t="shared" si="19"/>
        <v>2001.86</v>
      </c>
    </row>
    <row r="247" spans="1:28"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s="2">
        <v>2</v>
      </c>
      <c r="T247" s="2">
        <v>0</v>
      </c>
      <c r="U247" s="2">
        <v>41.68</v>
      </c>
      <c r="V247" t="str">
        <f t="shared" si="15"/>
        <v>Valid</v>
      </c>
      <c r="W247" s="2">
        <v>267.07</v>
      </c>
      <c r="X247" s="2">
        <v>656.2656164</v>
      </c>
      <c r="Y247" s="2" t="str">
        <f t="shared" si="16"/>
        <v>Normal</v>
      </c>
      <c r="Z247">
        <f t="shared" si="17"/>
        <v>5</v>
      </c>
      <c r="AA247">
        <f t="shared" si="18"/>
        <v>0.25</v>
      </c>
      <c r="AB247">
        <f t="shared" si="19"/>
        <v>166.72</v>
      </c>
    </row>
    <row r="248" spans="1:28"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s="2">
        <v>6</v>
      </c>
      <c r="T248" s="2">
        <v>0</v>
      </c>
      <c r="U248" s="2">
        <v>23.94</v>
      </c>
      <c r="V248" t="str">
        <f t="shared" si="15"/>
        <v>Valid</v>
      </c>
      <c r="W248" s="2">
        <v>267.07</v>
      </c>
      <c r="X248" s="2">
        <v>656.2656164</v>
      </c>
      <c r="Y248" s="2" t="str">
        <f t="shared" si="16"/>
        <v>Normal</v>
      </c>
      <c r="Z248">
        <f t="shared" si="17"/>
        <v>5</v>
      </c>
      <c r="AA248">
        <f t="shared" si="18"/>
        <v>0.5</v>
      </c>
      <c r="AB248">
        <f t="shared" si="19"/>
        <v>47.88</v>
      </c>
    </row>
    <row r="249" spans="1:28"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s="2">
        <v>5</v>
      </c>
      <c r="T249" s="2">
        <v>0</v>
      </c>
      <c r="U249" s="2">
        <v>496.07249999999999</v>
      </c>
      <c r="V249" t="str">
        <f t="shared" si="15"/>
        <v>Valid</v>
      </c>
      <c r="W249" s="2">
        <v>267.07</v>
      </c>
      <c r="X249" s="2">
        <v>656.2656164</v>
      </c>
      <c r="Y249" s="2" t="str">
        <f t="shared" si="16"/>
        <v>Normal</v>
      </c>
      <c r="Z249">
        <f t="shared" si="17"/>
        <v>5</v>
      </c>
      <c r="AA249">
        <f t="shared" si="18"/>
        <v>0.33</v>
      </c>
      <c r="AB249">
        <f t="shared" si="19"/>
        <v>1503.25</v>
      </c>
    </row>
    <row r="250" spans="1:28"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s="2">
        <v>4</v>
      </c>
      <c r="T250" s="2">
        <v>0</v>
      </c>
      <c r="U250" s="2">
        <v>12.441599999999999</v>
      </c>
      <c r="V250" t="str">
        <f t="shared" si="15"/>
        <v>Valid</v>
      </c>
      <c r="W250" s="2">
        <v>267.07</v>
      </c>
      <c r="X250" s="2">
        <v>656.2656164</v>
      </c>
      <c r="Y250" s="2" t="str">
        <f t="shared" si="16"/>
        <v>Normal</v>
      </c>
      <c r="Z250">
        <f t="shared" si="17"/>
        <v>5</v>
      </c>
      <c r="AA250">
        <f t="shared" si="18"/>
        <v>0.47999999999999993</v>
      </c>
      <c r="AB250">
        <f t="shared" si="19"/>
        <v>25.92</v>
      </c>
    </row>
    <row r="251" spans="1:28"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2">
        <v>2</v>
      </c>
      <c r="T251" s="2">
        <v>0.2</v>
      </c>
      <c r="U251" s="2">
        <v>28.1372</v>
      </c>
      <c r="V251" t="str">
        <f t="shared" si="15"/>
        <v>Valid</v>
      </c>
      <c r="W251" s="2">
        <v>267.07</v>
      </c>
      <c r="X251" s="2">
        <v>656.2656164</v>
      </c>
      <c r="Y251" s="2" t="str">
        <f t="shared" si="16"/>
        <v>Normal</v>
      </c>
      <c r="Z251">
        <f t="shared" si="17"/>
        <v>5</v>
      </c>
      <c r="AA251">
        <f t="shared" si="18"/>
        <v>8.7500000000000008E-2</v>
      </c>
      <c r="AB251">
        <f t="shared" si="19"/>
        <v>257.25439999999998</v>
      </c>
    </row>
    <row r="252" spans="1:28"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s="2">
        <v>1</v>
      </c>
      <c r="T252" s="2">
        <v>0</v>
      </c>
      <c r="U252" s="2">
        <v>3.5767000000000002</v>
      </c>
      <c r="V252" t="str">
        <f t="shared" si="15"/>
        <v>Valid</v>
      </c>
      <c r="W252" s="2">
        <v>267.07</v>
      </c>
      <c r="X252" s="2">
        <v>656.2656164</v>
      </c>
      <c r="Y252" s="2" t="str">
        <f t="shared" si="16"/>
        <v>Normal</v>
      </c>
      <c r="Z252">
        <f t="shared" si="17"/>
        <v>6</v>
      </c>
      <c r="AA252">
        <f t="shared" si="18"/>
        <v>0.47000000000000003</v>
      </c>
      <c r="AB252">
        <f t="shared" si="19"/>
        <v>7.61</v>
      </c>
    </row>
    <row r="253" spans="1:28"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s="2">
        <v>13</v>
      </c>
      <c r="T253" s="2">
        <v>0</v>
      </c>
      <c r="U253" s="2">
        <v>636.00030000000004</v>
      </c>
      <c r="V253" t="str">
        <f t="shared" si="15"/>
        <v>Valid</v>
      </c>
      <c r="W253" s="2">
        <v>267.07</v>
      </c>
      <c r="X253" s="2">
        <v>656.2656164</v>
      </c>
      <c r="Y253" s="2" t="str">
        <f t="shared" si="16"/>
        <v>High Outlier</v>
      </c>
      <c r="Z253">
        <f t="shared" si="17"/>
        <v>6</v>
      </c>
      <c r="AA253">
        <f t="shared" si="18"/>
        <v>0.19000000000000003</v>
      </c>
      <c r="AB253">
        <f t="shared" si="19"/>
        <v>3347.37</v>
      </c>
    </row>
    <row r="254" spans="1:28"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s="2">
        <v>6</v>
      </c>
      <c r="T254" s="2">
        <v>0</v>
      </c>
      <c r="U254" s="2">
        <v>22.5624</v>
      </c>
      <c r="V254" t="str">
        <f t="shared" si="15"/>
        <v>Valid</v>
      </c>
      <c r="W254" s="2">
        <v>267.07</v>
      </c>
      <c r="X254" s="2">
        <v>656.2656164</v>
      </c>
      <c r="Y254" s="2" t="str">
        <f t="shared" si="16"/>
        <v>Normal</v>
      </c>
      <c r="Z254">
        <f t="shared" si="17"/>
        <v>3</v>
      </c>
      <c r="AA254">
        <f t="shared" si="18"/>
        <v>0.28000000000000003</v>
      </c>
      <c r="AB254">
        <f t="shared" si="19"/>
        <v>80.58</v>
      </c>
    </row>
    <row r="255" spans="1:28"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s="2">
        <v>4</v>
      </c>
      <c r="T255" s="2">
        <v>0</v>
      </c>
      <c r="U255" s="2">
        <v>162.864</v>
      </c>
      <c r="V255" t="str">
        <f t="shared" si="15"/>
        <v>Valid</v>
      </c>
      <c r="W255" s="2">
        <v>267.07</v>
      </c>
      <c r="X255" s="2">
        <v>656.2656164</v>
      </c>
      <c r="Y255" s="2" t="str">
        <f t="shared" si="16"/>
        <v>Normal</v>
      </c>
      <c r="Z255">
        <f t="shared" si="17"/>
        <v>3</v>
      </c>
      <c r="AA255">
        <f t="shared" si="18"/>
        <v>0.45</v>
      </c>
      <c r="AB255">
        <f t="shared" si="19"/>
        <v>361.92</v>
      </c>
    </row>
    <row r="256" spans="1:28"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s="2">
        <v>9</v>
      </c>
      <c r="T256" s="2">
        <v>0.6</v>
      </c>
      <c r="U256" s="2">
        <v>-8.4923999999999999</v>
      </c>
      <c r="V256" t="str">
        <f t="shared" si="15"/>
        <v>Valid</v>
      </c>
      <c r="W256" s="2">
        <v>267.07</v>
      </c>
      <c r="X256" s="2">
        <v>656.2656164</v>
      </c>
      <c r="Y256" s="2" t="str">
        <f t="shared" si="16"/>
        <v>Normal</v>
      </c>
      <c r="Z256">
        <f t="shared" si="17"/>
        <v>6</v>
      </c>
      <c r="AA256">
        <f t="shared" si="18"/>
        <v>-0.70000000000000007</v>
      </c>
      <c r="AB256">
        <f t="shared" si="19"/>
        <v>4.8528000000000002</v>
      </c>
    </row>
    <row r="257" spans="1:28"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2">
        <v>2</v>
      </c>
      <c r="T257" s="2">
        <v>0.2</v>
      </c>
      <c r="U257" s="2">
        <v>-19.5624</v>
      </c>
      <c r="V257" t="str">
        <f t="shared" si="15"/>
        <v>Valid</v>
      </c>
      <c r="W257" s="2">
        <v>267.07</v>
      </c>
      <c r="X257" s="2">
        <v>656.2656164</v>
      </c>
      <c r="Y257" s="2" t="str">
        <f t="shared" si="16"/>
        <v>Normal</v>
      </c>
      <c r="Z257">
        <f t="shared" si="17"/>
        <v>6</v>
      </c>
      <c r="AA257">
        <f t="shared" si="18"/>
        <v>-0.23750000000000002</v>
      </c>
      <c r="AB257">
        <f t="shared" si="19"/>
        <v>65.894400000000005</v>
      </c>
    </row>
    <row r="258" spans="1:28"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s="2">
        <v>5</v>
      </c>
      <c r="T258" s="2">
        <v>0.2</v>
      </c>
      <c r="U258" s="2">
        <v>4.0439999999999996</v>
      </c>
      <c r="V258" t="str">
        <f t="shared" si="15"/>
        <v>Valid</v>
      </c>
      <c r="W258" s="2">
        <v>267.07</v>
      </c>
      <c r="X258" s="2">
        <v>656.2656164</v>
      </c>
      <c r="Y258" s="2" t="str">
        <f t="shared" si="16"/>
        <v>Normal</v>
      </c>
      <c r="Z258">
        <f t="shared" si="17"/>
        <v>6</v>
      </c>
      <c r="AA258">
        <f t="shared" si="18"/>
        <v>7.4999999999999983E-2</v>
      </c>
      <c r="AB258">
        <f t="shared" si="19"/>
        <v>43.136000000000003</v>
      </c>
    </row>
    <row r="259" spans="1:28"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s="2">
        <v>6</v>
      </c>
      <c r="T259" s="2">
        <v>0.2</v>
      </c>
      <c r="U259" s="2">
        <v>56.691600000000001</v>
      </c>
      <c r="V259" t="str">
        <f t="shared" ref="V259:V322" si="20">IF(D259&gt;=C259, "Valid", "Error")</f>
        <v>Valid</v>
      </c>
      <c r="W259" s="2">
        <v>267.07</v>
      </c>
      <c r="X259" s="2">
        <v>656.2656164</v>
      </c>
      <c r="Y259" s="2" t="str">
        <f t="shared" ref="Y259:Y322" si="21">IF(R259 &gt;(W259 + 3*X259), "High Outlier",  "Normal")</f>
        <v>Normal</v>
      </c>
      <c r="Z259">
        <f t="shared" ref="Z259:Z322" si="22">_xlfn.DAYS(D259,C259)</f>
        <v>6</v>
      </c>
      <c r="AA259">
        <f t="shared" ref="AA259:AA322" si="23">U259/R259</f>
        <v>8.7500000000000008E-2</v>
      </c>
      <c r="AB259">
        <f t="shared" ref="AB259:AB322" si="24">R259*(1-T259)</f>
        <v>518.32320000000004</v>
      </c>
    </row>
    <row r="260" spans="1:28"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s="2">
        <v>3</v>
      </c>
      <c r="T260" s="2">
        <v>0</v>
      </c>
      <c r="U260" s="2">
        <v>6.9257999999999997</v>
      </c>
      <c r="V260" t="str">
        <f t="shared" si="20"/>
        <v>Valid</v>
      </c>
      <c r="W260" s="2">
        <v>267.07</v>
      </c>
      <c r="X260" s="2">
        <v>656.2656164</v>
      </c>
      <c r="Y260" s="2" t="str">
        <f t="shared" si="21"/>
        <v>Normal</v>
      </c>
      <c r="Z260">
        <f t="shared" si="22"/>
        <v>2</v>
      </c>
      <c r="AA260">
        <f t="shared" si="23"/>
        <v>0.33999999999999997</v>
      </c>
      <c r="AB260">
        <f t="shared" si="24"/>
        <v>20.37</v>
      </c>
    </row>
    <row r="261" spans="1:28"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s="2">
        <v>3</v>
      </c>
      <c r="T261" s="2">
        <v>0</v>
      </c>
      <c r="U261" s="2">
        <v>6.6464999999999996</v>
      </c>
      <c r="V261" t="str">
        <f t="shared" si="20"/>
        <v>Valid</v>
      </c>
      <c r="W261" s="2">
        <v>267.07</v>
      </c>
      <c r="X261" s="2">
        <v>656.2656164</v>
      </c>
      <c r="Y261" s="2" t="str">
        <f t="shared" si="21"/>
        <v>Normal</v>
      </c>
      <c r="Z261">
        <f t="shared" si="22"/>
        <v>2</v>
      </c>
      <c r="AA261">
        <f t="shared" si="23"/>
        <v>2.9999999999999995E-2</v>
      </c>
      <c r="AB261">
        <f t="shared" si="24"/>
        <v>221.55</v>
      </c>
    </row>
    <row r="262" spans="1:28"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s="2">
        <v>5</v>
      </c>
      <c r="T262" s="2">
        <v>0.2</v>
      </c>
      <c r="U262" s="2">
        <v>6.1319999999999997</v>
      </c>
      <c r="V262" t="str">
        <f t="shared" si="20"/>
        <v>Valid</v>
      </c>
      <c r="W262" s="2">
        <v>267.07</v>
      </c>
      <c r="X262" s="2">
        <v>656.2656164</v>
      </c>
      <c r="Y262" s="2" t="str">
        <f t="shared" si="21"/>
        <v>Normal</v>
      </c>
      <c r="Z262">
        <f t="shared" si="22"/>
        <v>2</v>
      </c>
      <c r="AA262">
        <f t="shared" si="23"/>
        <v>0.35</v>
      </c>
      <c r="AB262">
        <f t="shared" si="24"/>
        <v>14.016</v>
      </c>
    </row>
    <row r="263" spans="1:28"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2">
        <v>2</v>
      </c>
      <c r="T263" s="2">
        <v>0.8</v>
      </c>
      <c r="U263" s="2">
        <v>-4.4660000000000002</v>
      </c>
      <c r="V263" t="str">
        <f t="shared" si="20"/>
        <v>Valid</v>
      </c>
      <c r="W263" s="2">
        <v>267.07</v>
      </c>
      <c r="X263" s="2">
        <v>656.2656164</v>
      </c>
      <c r="Y263" s="2" t="str">
        <f t="shared" si="21"/>
        <v>Normal</v>
      </c>
      <c r="Z263">
        <f t="shared" si="22"/>
        <v>4</v>
      </c>
      <c r="AA263">
        <f t="shared" si="23"/>
        <v>-2.75</v>
      </c>
      <c r="AB263">
        <f t="shared" si="24"/>
        <v>0.32479999999999998</v>
      </c>
    </row>
    <row r="264" spans="1:28"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s="2">
        <v>3</v>
      </c>
      <c r="T264" s="2">
        <v>0.4</v>
      </c>
      <c r="U264" s="2">
        <v>-509.99700000000001</v>
      </c>
      <c r="V264" t="str">
        <f t="shared" si="20"/>
        <v>Valid</v>
      </c>
      <c r="W264" s="2">
        <v>267.07</v>
      </c>
      <c r="X264" s="2">
        <v>656.2656164</v>
      </c>
      <c r="Y264" s="2" t="str">
        <f t="shared" si="21"/>
        <v>High Outlier</v>
      </c>
      <c r="Z264">
        <f t="shared" si="22"/>
        <v>2</v>
      </c>
      <c r="AA264">
        <f t="shared" si="23"/>
        <v>-0.16666666666666669</v>
      </c>
      <c r="AB264">
        <f t="shared" si="24"/>
        <v>1835.9892</v>
      </c>
    </row>
    <row r="265" spans="1:28"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2">
        <v>7</v>
      </c>
      <c r="T265" s="2">
        <v>0.4</v>
      </c>
      <c r="U265" s="2">
        <v>-251.9958</v>
      </c>
      <c r="V265" t="str">
        <f t="shared" si="20"/>
        <v>Valid</v>
      </c>
      <c r="W265" s="2">
        <v>267.07</v>
      </c>
      <c r="X265" s="2">
        <v>656.2656164</v>
      </c>
      <c r="Y265" s="2" t="str">
        <f t="shared" si="21"/>
        <v>High Outlier</v>
      </c>
      <c r="Z265">
        <f t="shared" si="22"/>
        <v>2</v>
      </c>
      <c r="AA265">
        <f t="shared" si="23"/>
        <v>-9.9999999999999992E-2</v>
      </c>
      <c r="AB265">
        <f t="shared" si="24"/>
        <v>1511.9748</v>
      </c>
    </row>
    <row r="266" spans="1:28"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2">
        <v>4</v>
      </c>
      <c r="T266" s="2">
        <v>0.2</v>
      </c>
      <c r="U266" s="2">
        <v>28.7196</v>
      </c>
      <c r="V266" t="str">
        <f t="shared" si="20"/>
        <v>Valid</v>
      </c>
      <c r="W266" s="2">
        <v>267.07</v>
      </c>
      <c r="X266" s="2">
        <v>656.2656164</v>
      </c>
      <c r="Y266" s="2" t="str">
        <f t="shared" si="21"/>
        <v>Normal</v>
      </c>
      <c r="Z266">
        <f t="shared" si="22"/>
        <v>7</v>
      </c>
      <c r="AA266">
        <f t="shared" si="23"/>
        <v>8.7500000000000008E-2</v>
      </c>
      <c r="AB266">
        <f t="shared" si="24"/>
        <v>262.57920000000001</v>
      </c>
    </row>
    <row r="267" spans="1:28"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2">
        <v>2</v>
      </c>
      <c r="T267" s="2">
        <v>0</v>
      </c>
      <c r="U267" s="2">
        <v>35.155999999999999</v>
      </c>
      <c r="V267" t="str">
        <f t="shared" si="20"/>
        <v>Valid</v>
      </c>
      <c r="W267" s="2">
        <v>267.07</v>
      </c>
      <c r="X267" s="2">
        <v>656.2656164</v>
      </c>
      <c r="Y267" s="2" t="str">
        <f t="shared" si="21"/>
        <v>Normal</v>
      </c>
      <c r="Z267">
        <f t="shared" si="22"/>
        <v>5</v>
      </c>
      <c r="AA267">
        <f t="shared" si="23"/>
        <v>0.43999999999999995</v>
      </c>
      <c r="AB267">
        <f t="shared" si="24"/>
        <v>79.900000000000006</v>
      </c>
    </row>
    <row r="268" spans="1:28"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s="2">
        <v>3</v>
      </c>
      <c r="T268" s="2">
        <v>0.2</v>
      </c>
      <c r="U268" s="2">
        <v>4.7304000000000004</v>
      </c>
      <c r="V268" t="str">
        <f t="shared" si="20"/>
        <v>Valid</v>
      </c>
      <c r="W268" s="2">
        <v>267.07</v>
      </c>
      <c r="X268" s="2">
        <v>656.2656164</v>
      </c>
      <c r="Y268" s="2" t="str">
        <f t="shared" si="21"/>
        <v>Normal</v>
      </c>
      <c r="Z268">
        <f t="shared" si="22"/>
        <v>4</v>
      </c>
      <c r="AA268">
        <f t="shared" si="23"/>
        <v>0.33750000000000002</v>
      </c>
      <c r="AB268">
        <f t="shared" si="24"/>
        <v>11.212800000000001</v>
      </c>
    </row>
    <row r="269" spans="1:28"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s="2">
        <v>6</v>
      </c>
      <c r="T269" s="2">
        <v>0</v>
      </c>
      <c r="U269" s="2">
        <v>0.3024</v>
      </c>
      <c r="V269" t="str">
        <f t="shared" si="20"/>
        <v>Valid</v>
      </c>
      <c r="W269" s="2">
        <v>267.07</v>
      </c>
      <c r="X269" s="2">
        <v>656.2656164</v>
      </c>
      <c r="Y269" s="2" t="str">
        <f t="shared" si="21"/>
        <v>Normal</v>
      </c>
      <c r="Z269">
        <f t="shared" si="22"/>
        <v>6</v>
      </c>
      <c r="AA269">
        <f t="shared" si="23"/>
        <v>0.04</v>
      </c>
      <c r="AB269">
        <f t="shared" si="24"/>
        <v>7.56</v>
      </c>
    </row>
    <row r="270" spans="1:28"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2">
        <v>1</v>
      </c>
      <c r="T270" s="2">
        <v>0.2</v>
      </c>
      <c r="U270" s="2">
        <v>-7.4416000000000002</v>
      </c>
      <c r="V270" t="str">
        <f t="shared" si="20"/>
        <v>Valid</v>
      </c>
      <c r="W270" s="2">
        <v>267.07</v>
      </c>
      <c r="X270" s="2">
        <v>656.2656164</v>
      </c>
      <c r="Y270" s="2" t="str">
        <f t="shared" si="21"/>
        <v>Normal</v>
      </c>
      <c r="Z270">
        <f t="shared" si="22"/>
        <v>4</v>
      </c>
      <c r="AA270">
        <f t="shared" si="23"/>
        <v>-0.2</v>
      </c>
      <c r="AB270">
        <f t="shared" si="24"/>
        <v>29.766400000000001</v>
      </c>
    </row>
    <row r="271" spans="1:28"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2">
        <v>3</v>
      </c>
      <c r="T271" s="2">
        <v>0.2</v>
      </c>
      <c r="U271" s="2">
        <v>21.591000000000001</v>
      </c>
      <c r="V271" t="str">
        <f t="shared" si="20"/>
        <v>Valid</v>
      </c>
      <c r="W271" s="2">
        <v>267.07</v>
      </c>
      <c r="X271" s="2">
        <v>656.2656164</v>
      </c>
      <c r="Y271" s="2" t="str">
        <f t="shared" si="21"/>
        <v>Normal</v>
      </c>
      <c r="Z271">
        <f t="shared" si="22"/>
        <v>4</v>
      </c>
      <c r="AA271">
        <f t="shared" si="23"/>
        <v>0.375</v>
      </c>
      <c r="AB271">
        <f t="shared" si="24"/>
        <v>46.0608</v>
      </c>
    </row>
    <row r="272" spans="1:28"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s="2">
        <v>4</v>
      </c>
      <c r="T272" s="2">
        <v>0</v>
      </c>
      <c r="U272" s="2">
        <v>210.49359999999999</v>
      </c>
      <c r="V272" t="str">
        <f t="shared" si="20"/>
        <v>Valid</v>
      </c>
      <c r="W272" s="2">
        <v>267.07</v>
      </c>
      <c r="X272" s="2">
        <v>656.2656164</v>
      </c>
      <c r="Y272" s="2" t="str">
        <f t="shared" si="21"/>
        <v>Normal</v>
      </c>
      <c r="Z272">
        <f t="shared" si="22"/>
        <v>5</v>
      </c>
      <c r="AA272">
        <f t="shared" si="23"/>
        <v>0.28999999999999998</v>
      </c>
      <c r="AB272">
        <f t="shared" si="24"/>
        <v>725.84</v>
      </c>
    </row>
    <row r="273" spans="1:28"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s="2">
        <v>7</v>
      </c>
      <c r="T273" s="2">
        <v>0</v>
      </c>
      <c r="U273" s="2">
        <v>92.369200000000006</v>
      </c>
      <c r="V273" t="str">
        <f t="shared" si="20"/>
        <v>Valid</v>
      </c>
      <c r="W273" s="2">
        <v>267.07</v>
      </c>
      <c r="X273" s="2">
        <v>656.2656164</v>
      </c>
      <c r="Y273" s="2" t="str">
        <f t="shared" si="21"/>
        <v>Normal</v>
      </c>
      <c r="Z273">
        <f t="shared" si="22"/>
        <v>1</v>
      </c>
      <c r="AA273">
        <f t="shared" si="23"/>
        <v>0.44</v>
      </c>
      <c r="AB273">
        <f t="shared" si="24"/>
        <v>209.93</v>
      </c>
    </row>
    <row r="274" spans="1:28"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s="2">
        <v>3</v>
      </c>
      <c r="T274" s="2">
        <v>0</v>
      </c>
      <c r="U274" s="2">
        <v>2.3231999999999999</v>
      </c>
      <c r="V274" t="str">
        <f t="shared" si="20"/>
        <v>Valid</v>
      </c>
      <c r="W274" s="2">
        <v>267.07</v>
      </c>
      <c r="X274" s="2">
        <v>656.2656164</v>
      </c>
      <c r="Y274" s="2" t="str">
        <f t="shared" si="21"/>
        <v>Normal</v>
      </c>
      <c r="Z274">
        <f t="shared" si="22"/>
        <v>1</v>
      </c>
      <c r="AA274">
        <f t="shared" si="23"/>
        <v>0.43999999999999995</v>
      </c>
      <c r="AB274">
        <f t="shared" si="24"/>
        <v>5.28</v>
      </c>
    </row>
    <row r="275" spans="1:28"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s="2">
        <v>3</v>
      </c>
      <c r="T275" s="2">
        <v>0.2</v>
      </c>
      <c r="U275" s="2">
        <v>4.0949999999999998</v>
      </c>
      <c r="V275" t="str">
        <f t="shared" si="20"/>
        <v>Valid</v>
      </c>
      <c r="W275" s="2">
        <v>267.07</v>
      </c>
      <c r="X275" s="2">
        <v>656.2656164</v>
      </c>
      <c r="Y275" s="2" t="str">
        <f t="shared" si="21"/>
        <v>Normal</v>
      </c>
      <c r="Z275">
        <f t="shared" si="22"/>
        <v>1</v>
      </c>
      <c r="AA275">
        <f t="shared" si="23"/>
        <v>0.375</v>
      </c>
      <c r="AB275">
        <f t="shared" si="24"/>
        <v>8.7360000000000007</v>
      </c>
    </row>
    <row r="276" spans="1:28"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s="2">
        <v>2</v>
      </c>
      <c r="T276" s="2">
        <v>0</v>
      </c>
      <c r="U276" s="2">
        <v>4.0571999999999999</v>
      </c>
      <c r="V276" t="str">
        <f t="shared" si="20"/>
        <v>Valid</v>
      </c>
      <c r="W276" s="2">
        <v>267.07</v>
      </c>
      <c r="X276" s="2">
        <v>656.2656164</v>
      </c>
      <c r="Y276" s="2" t="str">
        <f t="shared" si="21"/>
        <v>Normal</v>
      </c>
      <c r="Z276">
        <f t="shared" si="22"/>
        <v>1</v>
      </c>
      <c r="AA276">
        <f t="shared" si="23"/>
        <v>0.45999999999999996</v>
      </c>
      <c r="AB276">
        <f t="shared" si="24"/>
        <v>8.82</v>
      </c>
    </row>
    <row r="277" spans="1:28"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s="2">
        <v>1</v>
      </c>
      <c r="T277" s="2">
        <v>0</v>
      </c>
      <c r="U277" s="2">
        <v>1.5548</v>
      </c>
      <c r="V277" t="str">
        <f t="shared" si="20"/>
        <v>Valid</v>
      </c>
      <c r="W277" s="2">
        <v>267.07</v>
      </c>
      <c r="X277" s="2">
        <v>656.2656164</v>
      </c>
      <c r="Y277" s="2" t="str">
        <f t="shared" si="21"/>
        <v>Normal</v>
      </c>
      <c r="Z277">
        <f t="shared" si="22"/>
        <v>1</v>
      </c>
      <c r="AA277">
        <f t="shared" si="23"/>
        <v>0.25999999999999995</v>
      </c>
      <c r="AB277">
        <f t="shared" si="24"/>
        <v>5.98</v>
      </c>
    </row>
    <row r="278" spans="1:28"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s="2">
        <v>2</v>
      </c>
      <c r="T278" s="2">
        <v>0.2</v>
      </c>
      <c r="U278" s="2">
        <v>4.0768000000000004</v>
      </c>
      <c r="V278" t="str">
        <f t="shared" si="20"/>
        <v>Valid</v>
      </c>
      <c r="W278" s="2">
        <v>267.07</v>
      </c>
      <c r="X278" s="2">
        <v>656.2656164</v>
      </c>
      <c r="Y278" s="2" t="str">
        <f t="shared" si="21"/>
        <v>Normal</v>
      </c>
      <c r="Z278">
        <f t="shared" si="22"/>
        <v>4</v>
      </c>
      <c r="AA278">
        <f t="shared" si="23"/>
        <v>0.35000000000000003</v>
      </c>
      <c r="AB278">
        <f t="shared" si="24"/>
        <v>9.3184000000000005</v>
      </c>
    </row>
    <row r="279" spans="1:28"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2">
        <v>4</v>
      </c>
      <c r="T279" s="2">
        <v>0.2</v>
      </c>
      <c r="U279" s="2">
        <v>5.9071999999999996</v>
      </c>
      <c r="V279" t="str">
        <f t="shared" si="20"/>
        <v>Valid</v>
      </c>
      <c r="W279" s="2">
        <v>267.07</v>
      </c>
      <c r="X279" s="2">
        <v>656.2656164</v>
      </c>
      <c r="Y279" s="2" t="str">
        <f t="shared" si="21"/>
        <v>Normal</v>
      </c>
      <c r="Z279">
        <f t="shared" si="22"/>
        <v>4</v>
      </c>
      <c r="AA279">
        <f t="shared" si="23"/>
        <v>0.32500000000000001</v>
      </c>
      <c r="AB279">
        <f t="shared" si="24"/>
        <v>14.540799999999999</v>
      </c>
    </row>
    <row r="280" spans="1:28"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2">
        <v>6</v>
      </c>
      <c r="T280" s="2">
        <v>0.2</v>
      </c>
      <c r="U280" s="2">
        <v>5.9711999999999996</v>
      </c>
      <c r="V280" t="str">
        <f t="shared" si="20"/>
        <v>Valid</v>
      </c>
      <c r="W280" s="2">
        <v>267.07</v>
      </c>
      <c r="X280" s="2">
        <v>656.2656164</v>
      </c>
      <c r="Y280" s="2" t="str">
        <f t="shared" si="21"/>
        <v>Normal</v>
      </c>
      <c r="Z280">
        <f t="shared" si="22"/>
        <v>4</v>
      </c>
      <c r="AA280">
        <f t="shared" si="23"/>
        <v>9.9999999999999992E-2</v>
      </c>
      <c r="AB280">
        <f t="shared" si="24"/>
        <v>47.769600000000004</v>
      </c>
    </row>
    <row r="281" spans="1:28"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s="2">
        <v>3</v>
      </c>
      <c r="T281" s="2">
        <v>0.2</v>
      </c>
      <c r="U281" s="2">
        <v>8.6940000000000008</v>
      </c>
      <c r="V281" t="str">
        <f t="shared" si="20"/>
        <v>Valid</v>
      </c>
      <c r="W281" s="2">
        <v>267.07</v>
      </c>
      <c r="X281" s="2">
        <v>656.2656164</v>
      </c>
      <c r="Y281" s="2" t="str">
        <f t="shared" si="21"/>
        <v>Normal</v>
      </c>
      <c r="Z281">
        <f t="shared" si="22"/>
        <v>4</v>
      </c>
      <c r="AA281">
        <f t="shared" si="23"/>
        <v>0.35000000000000003</v>
      </c>
      <c r="AB281">
        <f t="shared" si="24"/>
        <v>19.872</v>
      </c>
    </row>
    <row r="282" spans="1:28"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s="2">
        <v>5</v>
      </c>
      <c r="T282" s="2">
        <v>0.8</v>
      </c>
      <c r="U282" s="2">
        <v>-3.4319999999999999</v>
      </c>
      <c r="V282" t="str">
        <f t="shared" si="20"/>
        <v>Valid</v>
      </c>
      <c r="W282" s="2">
        <v>267.07</v>
      </c>
      <c r="X282" s="2">
        <v>656.2656164</v>
      </c>
      <c r="Y282" s="2" t="str">
        <f t="shared" si="21"/>
        <v>Normal</v>
      </c>
      <c r="Z282">
        <f t="shared" si="22"/>
        <v>2</v>
      </c>
      <c r="AA282">
        <f t="shared" si="23"/>
        <v>-1.65</v>
      </c>
      <c r="AB282">
        <f t="shared" si="24"/>
        <v>0.41599999999999993</v>
      </c>
    </row>
    <row r="283" spans="1:28"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2">
        <v>7</v>
      </c>
      <c r="T283" s="2">
        <v>0.2</v>
      </c>
      <c r="U283" s="2">
        <v>376.11</v>
      </c>
      <c r="V283" t="str">
        <f t="shared" si="20"/>
        <v>Valid</v>
      </c>
      <c r="W283" s="2">
        <v>267.07</v>
      </c>
      <c r="X283" s="2">
        <v>656.2656164</v>
      </c>
      <c r="Y283" s="2" t="str">
        <f t="shared" si="21"/>
        <v>Normal</v>
      </c>
      <c r="Z283">
        <f t="shared" si="22"/>
        <v>2</v>
      </c>
      <c r="AA283">
        <f t="shared" si="23"/>
        <v>0.33749999999999997</v>
      </c>
      <c r="AB283">
        <f t="shared" si="24"/>
        <v>891.5200000000001</v>
      </c>
    </row>
    <row r="284" spans="1:28"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2">
        <v>5</v>
      </c>
      <c r="T284" s="2">
        <v>0.2</v>
      </c>
      <c r="U284" s="2">
        <v>51.942</v>
      </c>
      <c r="V284" t="str">
        <f t="shared" si="20"/>
        <v>Valid</v>
      </c>
      <c r="W284" s="2">
        <v>267.07</v>
      </c>
      <c r="X284" s="2">
        <v>656.2656164</v>
      </c>
      <c r="Y284" s="2" t="str">
        <f t="shared" si="21"/>
        <v>Normal</v>
      </c>
      <c r="Z284">
        <f t="shared" si="22"/>
        <v>4</v>
      </c>
      <c r="AA284">
        <f t="shared" si="23"/>
        <v>0.05</v>
      </c>
      <c r="AB284">
        <f t="shared" si="24"/>
        <v>831.072</v>
      </c>
    </row>
    <row r="285" spans="1:28"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s="2">
        <v>5</v>
      </c>
      <c r="T285" s="2">
        <v>0.2</v>
      </c>
      <c r="U285" s="2">
        <v>47.844000000000001</v>
      </c>
      <c r="V285" t="str">
        <f t="shared" si="20"/>
        <v>Valid</v>
      </c>
      <c r="W285" s="2">
        <v>267.07</v>
      </c>
      <c r="X285" s="2">
        <v>656.2656164</v>
      </c>
      <c r="Y285" s="2" t="str">
        <f t="shared" si="21"/>
        <v>Normal</v>
      </c>
      <c r="Z285">
        <f t="shared" si="22"/>
        <v>6</v>
      </c>
      <c r="AA285">
        <f t="shared" si="23"/>
        <v>0.33750000000000002</v>
      </c>
      <c r="AB285">
        <f t="shared" si="24"/>
        <v>113.408</v>
      </c>
    </row>
    <row r="286" spans="1:28"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s="2">
        <v>5</v>
      </c>
      <c r="T286" s="2">
        <v>0.2</v>
      </c>
      <c r="U286" s="2">
        <v>47.96</v>
      </c>
      <c r="V286" t="str">
        <f t="shared" si="20"/>
        <v>Valid</v>
      </c>
      <c r="W286" s="2">
        <v>267.07</v>
      </c>
      <c r="X286" s="2">
        <v>656.2656164</v>
      </c>
      <c r="Y286" s="2" t="str">
        <f t="shared" si="21"/>
        <v>Normal</v>
      </c>
      <c r="Z286">
        <f t="shared" si="22"/>
        <v>6</v>
      </c>
      <c r="AA286">
        <f t="shared" si="23"/>
        <v>0.19999999999999998</v>
      </c>
      <c r="AB286">
        <f t="shared" si="24"/>
        <v>191.84000000000003</v>
      </c>
    </row>
    <row r="287" spans="1:28"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2">
        <v>6</v>
      </c>
      <c r="T287" s="2">
        <v>0.2</v>
      </c>
      <c r="U287" s="2">
        <v>10.8864</v>
      </c>
      <c r="V287" t="str">
        <f t="shared" si="20"/>
        <v>Valid</v>
      </c>
      <c r="W287" s="2">
        <v>267.07</v>
      </c>
      <c r="X287" s="2">
        <v>656.2656164</v>
      </c>
      <c r="Y287" s="2" t="str">
        <f t="shared" si="21"/>
        <v>Normal</v>
      </c>
      <c r="Z287">
        <f t="shared" si="22"/>
        <v>6</v>
      </c>
      <c r="AA287">
        <f t="shared" si="23"/>
        <v>0.35000000000000003</v>
      </c>
      <c r="AB287">
        <f t="shared" si="24"/>
        <v>24.883200000000002</v>
      </c>
    </row>
    <row r="288" spans="1:28"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2">
        <v>7</v>
      </c>
      <c r="T288" s="2">
        <v>0.7</v>
      </c>
      <c r="U288" s="2">
        <v>-169.37200000000001</v>
      </c>
      <c r="V288" t="str">
        <f t="shared" si="20"/>
        <v>Valid</v>
      </c>
      <c r="W288" s="2">
        <v>267.07</v>
      </c>
      <c r="X288" s="2">
        <v>656.2656164</v>
      </c>
      <c r="Y288" s="2" t="str">
        <f t="shared" si="21"/>
        <v>Normal</v>
      </c>
      <c r="Z288">
        <f t="shared" si="22"/>
        <v>2</v>
      </c>
      <c r="AA288">
        <f t="shared" si="23"/>
        <v>-0.66666666666666674</v>
      </c>
      <c r="AB288">
        <f t="shared" si="24"/>
        <v>76.217400000000012</v>
      </c>
    </row>
    <row r="289" spans="1:28"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2">
        <v>2</v>
      </c>
      <c r="T289" s="2">
        <v>0.2</v>
      </c>
      <c r="U289" s="2">
        <v>24.315999999999999</v>
      </c>
      <c r="V289" t="str">
        <f t="shared" si="20"/>
        <v>Valid</v>
      </c>
      <c r="W289" s="2">
        <v>267.07</v>
      </c>
      <c r="X289" s="2">
        <v>656.2656164</v>
      </c>
      <c r="Y289" s="2" t="str">
        <f t="shared" si="21"/>
        <v>Normal</v>
      </c>
      <c r="Z289">
        <f t="shared" si="22"/>
        <v>2</v>
      </c>
      <c r="AA289">
        <f t="shared" si="23"/>
        <v>0.125</v>
      </c>
      <c r="AB289">
        <f t="shared" si="24"/>
        <v>155.6224</v>
      </c>
    </row>
    <row r="290" spans="1:28"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s="2">
        <v>5</v>
      </c>
      <c r="T290" s="2">
        <v>0.2</v>
      </c>
      <c r="U290" s="2">
        <v>-204.31450000000001</v>
      </c>
      <c r="V290" t="str">
        <f t="shared" si="20"/>
        <v>Valid</v>
      </c>
      <c r="W290" s="2">
        <v>267.07</v>
      </c>
      <c r="X290" s="2">
        <v>656.2656164</v>
      </c>
      <c r="Y290" s="2" t="str">
        <f t="shared" si="21"/>
        <v>Normal</v>
      </c>
      <c r="Z290">
        <f t="shared" si="22"/>
        <v>2</v>
      </c>
      <c r="AA290">
        <f t="shared" si="23"/>
        <v>-0.21249999999999999</v>
      </c>
      <c r="AB290">
        <f t="shared" si="24"/>
        <v>769.18400000000008</v>
      </c>
    </row>
    <row r="291" spans="1:28"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2">
        <v>7</v>
      </c>
      <c r="T291" s="2">
        <v>0.2</v>
      </c>
      <c r="U291" s="2">
        <v>6.6836000000000002</v>
      </c>
      <c r="V291" t="str">
        <f t="shared" si="20"/>
        <v>Valid</v>
      </c>
      <c r="W291" s="2">
        <v>267.07</v>
      </c>
      <c r="X291" s="2">
        <v>656.2656164</v>
      </c>
      <c r="Y291" s="2" t="str">
        <f t="shared" si="21"/>
        <v>Normal</v>
      </c>
      <c r="Z291">
        <f t="shared" si="22"/>
        <v>4</v>
      </c>
      <c r="AA291">
        <f t="shared" si="23"/>
        <v>0.35000000000000003</v>
      </c>
      <c r="AB291">
        <f t="shared" si="24"/>
        <v>15.276800000000001</v>
      </c>
    </row>
    <row r="292" spans="1:28"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2">
        <v>8</v>
      </c>
      <c r="T292" s="2">
        <v>0.2</v>
      </c>
      <c r="U292" s="2">
        <v>6.2423999999999999</v>
      </c>
      <c r="V292" t="str">
        <f t="shared" si="20"/>
        <v>Valid</v>
      </c>
      <c r="W292" s="2">
        <v>267.07</v>
      </c>
      <c r="X292" s="2">
        <v>656.2656164</v>
      </c>
      <c r="Y292" s="2" t="str">
        <f t="shared" si="21"/>
        <v>Normal</v>
      </c>
      <c r="Z292">
        <f t="shared" si="22"/>
        <v>4</v>
      </c>
      <c r="AA292">
        <f t="shared" si="23"/>
        <v>0.33750000000000002</v>
      </c>
      <c r="AB292">
        <f t="shared" si="24"/>
        <v>14.796799999999999</v>
      </c>
    </row>
    <row r="293" spans="1:28"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2">
        <v>2</v>
      </c>
      <c r="T293" s="2">
        <v>0.2</v>
      </c>
      <c r="U293" s="2">
        <v>54.396599999999999</v>
      </c>
      <c r="V293" t="str">
        <f t="shared" si="20"/>
        <v>Valid</v>
      </c>
      <c r="W293" s="2">
        <v>267.07</v>
      </c>
      <c r="X293" s="2">
        <v>656.2656164</v>
      </c>
      <c r="Y293" s="2" t="str">
        <f t="shared" si="21"/>
        <v>Normal</v>
      </c>
      <c r="Z293">
        <f t="shared" si="22"/>
        <v>4</v>
      </c>
      <c r="AA293">
        <f t="shared" si="23"/>
        <v>0.21249999999999999</v>
      </c>
      <c r="AB293">
        <f t="shared" si="24"/>
        <v>204.78720000000001</v>
      </c>
    </row>
    <row r="294" spans="1:28"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s="2">
        <v>3</v>
      </c>
      <c r="T294" s="2">
        <v>0.5</v>
      </c>
      <c r="U294" s="2">
        <v>-48.703200000000002</v>
      </c>
      <c r="V294" t="str">
        <f t="shared" si="20"/>
        <v>Valid</v>
      </c>
      <c r="W294" s="2">
        <v>267.07</v>
      </c>
      <c r="X294" s="2">
        <v>656.2656164</v>
      </c>
      <c r="Y294" s="2" t="str">
        <f t="shared" si="21"/>
        <v>Normal</v>
      </c>
      <c r="Z294">
        <f t="shared" si="22"/>
        <v>4</v>
      </c>
      <c r="AA294">
        <f t="shared" si="23"/>
        <v>-0.56000000000000005</v>
      </c>
      <c r="AB294">
        <f t="shared" si="24"/>
        <v>43.484999999999999</v>
      </c>
    </row>
    <row r="295" spans="1:28"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2">
        <v>8</v>
      </c>
      <c r="T295" s="2">
        <v>0.2</v>
      </c>
      <c r="U295" s="2">
        <v>78.859200000000001</v>
      </c>
      <c r="V295" t="str">
        <f t="shared" si="20"/>
        <v>Valid</v>
      </c>
      <c r="W295" s="2">
        <v>267.07</v>
      </c>
      <c r="X295" s="2">
        <v>656.2656164</v>
      </c>
      <c r="Y295" s="2" t="str">
        <f t="shared" si="21"/>
        <v>Normal</v>
      </c>
      <c r="Z295">
        <f t="shared" si="22"/>
        <v>2</v>
      </c>
      <c r="AA295">
        <f t="shared" si="23"/>
        <v>0.26250000000000001</v>
      </c>
      <c r="AB295">
        <f t="shared" si="24"/>
        <v>240.33280000000002</v>
      </c>
    </row>
    <row r="296" spans="1:28"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2">
        <v>3</v>
      </c>
      <c r="T296" s="2">
        <v>0.2</v>
      </c>
      <c r="U296" s="2">
        <v>20.155799999999999</v>
      </c>
      <c r="V296" t="str">
        <f t="shared" si="20"/>
        <v>Valid</v>
      </c>
      <c r="W296" s="2">
        <v>267.07</v>
      </c>
      <c r="X296" s="2">
        <v>656.2656164</v>
      </c>
      <c r="Y296" s="2" t="str">
        <f t="shared" si="21"/>
        <v>Normal</v>
      </c>
      <c r="Z296">
        <f t="shared" si="22"/>
        <v>2</v>
      </c>
      <c r="AA296">
        <f t="shared" si="23"/>
        <v>8.7499999999999994E-2</v>
      </c>
      <c r="AB296">
        <f t="shared" si="24"/>
        <v>184.28160000000003</v>
      </c>
    </row>
    <row r="297" spans="1:28"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2">
        <v>3</v>
      </c>
      <c r="T297" s="2">
        <v>0.2</v>
      </c>
      <c r="U297" s="2">
        <v>-24.564599999999999</v>
      </c>
      <c r="V297" t="str">
        <f t="shared" si="20"/>
        <v>Valid</v>
      </c>
      <c r="W297" s="2">
        <v>267.07</v>
      </c>
      <c r="X297" s="2">
        <v>656.2656164</v>
      </c>
      <c r="Y297" s="2" t="str">
        <f t="shared" si="21"/>
        <v>Normal</v>
      </c>
      <c r="Z297">
        <f t="shared" si="22"/>
        <v>2</v>
      </c>
      <c r="AA297">
        <f t="shared" si="23"/>
        <v>-0.11249999999999999</v>
      </c>
      <c r="AB297">
        <f t="shared" si="24"/>
        <v>174.6816</v>
      </c>
    </row>
    <row r="298" spans="1:28"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2">
        <v>5</v>
      </c>
      <c r="T298" s="2">
        <v>0.7</v>
      </c>
      <c r="U298" s="2">
        <v>-62.88</v>
      </c>
      <c r="V298" t="str">
        <f t="shared" si="20"/>
        <v>Valid</v>
      </c>
      <c r="W298" s="2">
        <v>267.07</v>
      </c>
      <c r="X298" s="2">
        <v>656.2656164</v>
      </c>
      <c r="Y298" s="2" t="str">
        <f t="shared" si="21"/>
        <v>Normal</v>
      </c>
      <c r="Z298">
        <f t="shared" si="22"/>
        <v>2</v>
      </c>
      <c r="AA298">
        <f t="shared" si="23"/>
        <v>-0.8</v>
      </c>
      <c r="AB298">
        <f t="shared" si="24"/>
        <v>23.580000000000002</v>
      </c>
    </row>
    <row r="299" spans="1:28"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2">
        <v>3</v>
      </c>
      <c r="T299" s="2">
        <v>0.2</v>
      </c>
      <c r="U299" s="2">
        <v>9.2988</v>
      </c>
      <c r="V299" t="str">
        <f t="shared" si="20"/>
        <v>Valid</v>
      </c>
      <c r="W299" s="2">
        <v>267.07</v>
      </c>
      <c r="X299" s="2">
        <v>656.2656164</v>
      </c>
      <c r="Y299" s="2" t="str">
        <f t="shared" si="21"/>
        <v>Normal</v>
      </c>
      <c r="Z299">
        <f t="shared" si="22"/>
        <v>2</v>
      </c>
      <c r="AA299">
        <f t="shared" si="23"/>
        <v>0.33750000000000002</v>
      </c>
      <c r="AB299">
        <f t="shared" si="24"/>
        <v>22.041600000000003</v>
      </c>
    </row>
    <row r="300" spans="1:28"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s="2">
        <v>5</v>
      </c>
      <c r="T300" s="2">
        <v>0</v>
      </c>
      <c r="U300" s="2">
        <v>15.552</v>
      </c>
      <c r="V300" t="str">
        <f t="shared" si="20"/>
        <v>Valid</v>
      </c>
      <c r="W300" s="2">
        <v>267.07</v>
      </c>
      <c r="X300" s="2">
        <v>656.2656164</v>
      </c>
      <c r="Y300" s="2" t="str">
        <f t="shared" si="21"/>
        <v>Normal</v>
      </c>
      <c r="Z300">
        <f t="shared" si="22"/>
        <v>6</v>
      </c>
      <c r="AA300">
        <f t="shared" si="23"/>
        <v>0.48</v>
      </c>
      <c r="AB300">
        <f t="shared" si="24"/>
        <v>32.4</v>
      </c>
    </row>
    <row r="301" spans="1:28"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s="2">
        <v>8</v>
      </c>
      <c r="T301" s="2">
        <v>0</v>
      </c>
      <c r="U301" s="2">
        <v>10.8248</v>
      </c>
      <c r="V301" t="str">
        <f t="shared" si="20"/>
        <v>Valid</v>
      </c>
      <c r="W301" s="2">
        <v>267.07</v>
      </c>
      <c r="X301" s="2">
        <v>656.2656164</v>
      </c>
      <c r="Y301" s="2" t="str">
        <f t="shared" si="21"/>
        <v>Normal</v>
      </c>
      <c r="Z301">
        <f t="shared" si="22"/>
        <v>6</v>
      </c>
      <c r="AA301">
        <f t="shared" si="23"/>
        <v>0.01</v>
      </c>
      <c r="AB301">
        <f t="shared" si="24"/>
        <v>1082.48</v>
      </c>
    </row>
    <row r="302" spans="1:28"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s="2">
        <v>3</v>
      </c>
      <c r="T302" s="2">
        <v>0</v>
      </c>
      <c r="U302" s="2">
        <v>27.316800000000001</v>
      </c>
      <c r="V302" t="str">
        <f t="shared" si="20"/>
        <v>Valid</v>
      </c>
      <c r="W302" s="2">
        <v>267.07</v>
      </c>
      <c r="X302" s="2">
        <v>656.2656164</v>
      </c>
      <c r="Y302" s="2" t="str">
        <f t="shared" si="21"/>
        <v>Normal</v>
      </c>
      <c r="Z302">
        <f t="shared" si="22"/>
        <v>6</v>
      </c>
      <c r="AA302">
        <f t="shared" si="23"/>
        <v>0.48000000000000004</v>
      </c>
      <c r="AB302">
        <f t="shared" si="24"/>
        <v>56.91</v>
      </c>
    </row>
    <row r="303" spans="1:28"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2">
        <v>4</v>
      </c>
      <c r="T303" s="2">
        <v>0</v>
      </c>
      <c r="U303" s="2">
        <v>38.024000000000001</v>
      </c>
      <c r="V303" t="str">
        <f t="shared" si="20"/>
        <v>Valid</v>
      </c>
      <c r="W303" s="2">
        <v>267.07</v>
      </c>
      <c r="X303" s="2">
        <v>656.2656164</v>
      </c>
      <c r="Y303" s="2" t="str">
        <f t="shared" si="21"/>
        <v>Normal</v>
      </c>
      <c r="Z303">
        <f t="shared" si="22"/>
        <v>6</v>
      </c>
      <c r="AA303">
        <f t="shared" si="23"/>
        <v>0.49000000000000005</v>
      </c>
      <c r="AB303">
        <f t="shared" si="24"/>
        <v>77.599999999999994</v>
      </c>
    </row>
    <row r="304" spans="1:28"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s="2">
        <v>1</v>
      </c>
      <c r="T304" s="2">
        <v>0</v>
      </c>
      <c r="U304" s="2">
        <v>6.5688000000000004</v>
      </c>
      <c r="V304" t="str">
        <f t="shared" si="20"/>
        <v>Valid</v>
      </c>
      <c r="W304" s="2">
        <v>267.07</v>
      </c>
      <c r="X304" s="2">
        <v>656.2656164</v>
      </c>
      <c r="Y304" s="2" t="str">
        <f t="shared" si="21"/>
        <v>Normal</v>
      </c>
      <c r="Z304">
        <f t="shared" si="22"/>
        <v>6</v>
      </c>
      <c r="AA304">
        <f t="shared" si="23"/>
        <v>0.46000000000000008</v>
      </c>
      <c r="AB304">
        <f t="shared" si="24"/>
        <v>14.28</v>
      </c>
    </row>
    <row r="305" spans="1:28"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2">
        <v>3</v>
      </c>
      <c r="T305" s="2">
        <v>0.5</v>
      </c>
      <c r="U305" s="2">
        <v>-131.44499999999999</v>
      </c>
      <c r="V305" t="str">
        <f t="shared" si="20"/>
        <v>Valid</v>
      </c>
      <c r="W305" s="2">
        <v>267.07</v>
      </c>
      <c r="X305" s="2">
        <v>656.2656164</v>
      </c>
      <c r="Y305" s="2" t="str">
        <f t="shared" si="21"/>
        <v>Normal</v>
      </c>
      <c r="Z305">
        <f t="shared" si="22"/>
        <v>4</v>
      </c>
      <c r="AA305">
        <f t="shared" si="23"/>
        <v>-0.6</v>
      </c>
      <c r="AB305">
        <f t="shared" si="24"/>
        <v>109.53749999999999</v>
      </c>
    </row>
    <row r="306" spans="1:28"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s="2">
        <v>2</v>
      </c>
      <c r="T306" s="2">
        <v>0</v>
      </c>
      <c r="U306" s="2">
        <v>12.864000000000001</v>
      </c>
      <c r="V306" t="str">
        <f t="shared" si="20"/>
        <v>Valid</v>
      </c>
      <c r="W306" s="2">
        <v>267.07</v>
      </c>
      <c r="X306" s="2">
        <v>656.2656164</v>
      </c>
      <c r="Y306" s="2" t="str">
        <f t="shared" si="21"/>
        <v>Normal</v>
      </c>
      <c r="Z306">
        <f t="shared" si="22"/>
        <v>5</v>
      </c>
      <c r="AA306">
        <f t="shared" si="23"/>
        <v>0.48000000000000004</v>
      </c>
      <c r="AB306">
        <f t="shared" si="24"/>
        <v>26.8</v>
      </c>
    </row>
    <row r="307" spans="1:28"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s="2">
        <v>3</v>
      </c>
      <c r="T307" s="2">
        <v>0</v>
      </c>
      <c r="U307" s="2">
        <v>2.8536000000000001</v>
      </c>
      <c r="V307" t="str">
        <f t="shared" si="20"/>
        <v>Valid</v>
      </c>
      <c r="W307" s="2">
        <v>267.07</v>
      </c>
      <c r="X307" s="2">
        <v>656.2656164</v>
      </c>
      <c r="Y307" s="2" t="str">
        <f t="shared" si="21"/>
        <v>Normal</v>
      </c>
      <c r="Z307">
        <f t="shared" si="22"/>
        <v>5</v>
      </c>
      <c r="AA307">
        <f t="shared" si="23"/>
        <v>0.29000000000000004</v>
      </c>
      <c r="AB307">
        <f t="shared" si="24"/>
        <v>9.84</v>
      </c>
    </row>
    <row r="308" spans="1:28"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s="2">
        <v>3</v>
      </c>
      <c r="T308" s="2">
        <v>0</v>
      </c>
      <c r="U308" s="2">
        <v>20.9208</v>
      </c>
      <c r="V308" t="str">
        <f t="shared" si="20"/>
        <v>Valid</v>
      </c>
      <c r="W308" s="2">
        <v>267.07</v>
      </c>
      <c r="X308" s="2">
        <v>656.2656164</v>
      </c>
      <c r="Y308" s="2" t="str">
        <f t="shared" si="21"/>
        <v>Normal</v>
      </c>
      <c r="Z308">
        <f t="shared" si="22"/>
        <v>5</v>
      </c>
      <c r="AA308">
        <f t="shared" si="23"/>
        <v>0.46</v>
      </c>
      <c r="AB308">
        <f t="shared" si="24"/>
        <v>45.48</v>
      </c>
    </row>
    <row r="309" spans="1:28"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s="2">
        <v>6</v>
      </c>
      <c r="T309" s="2">
        <v>0</v>
      </c>
      <c r="U309" s="2">
        <v>83.867999999999995</v>
      </c>
      <c r="V309" t="str">
        <f t="shared" si="20"/>
        <v>Valid</v>
      </c>
      <c r="W309" s="2">
        <v>267.07</v>
      </c>
      <c r="X309" s="2">
        <v>656.2656164</v>
      </c>
      <c r="Y309" s="2" t="str">
        <f t="shared" si="21"/>
        <v>Normal</v>
      </c>
      <c r="Z309">
        <f t="shared" si="22"/>
        <v>5</v>
      </c>
      <c r="AA309">
        <f t="shared" si="23"/>
        <v>0.28999999999999998</v>
      </c>
      <c r="AB309">
        <f t="shared" si="24"/>
        <v>289.2</v>
      </c>
    </row>
    <row r="310" spans="1:28"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2">
        <v>1</v>
      </c>
      <c r="T310" s="2">
        <v>0</v>
      </c>
      <c r="U310" s="2">
        <v>2.0049000000000001</v>
      </c>
      <c r="V310" t="str">
        <f t="shared" si="20"/>
        <v>Valid</v>
      </c>
      <c r="W310" s="2">
        <v>267.07</v>
      </c>
      <c r="X310" s="2">
        <v>656.2656164</v>
      </c>
      <c r="Y310" s="2" t="str">
        <f t="shared" si="21"/>
        <v>Normal</v>
      </c>
      <c r="Z310">
        <f t="shared" si="22"/>
        <v>2</v>
      </c>
      <c r="AA310">
        <f t="shared" si="23"/>
        <v>0.41000000000000003</v>
      </c>
      <c r="AB310">
        <f t="shared" si="24"/>
        <v>4.8899999999999997</v>
      </c>
    </row>
    <row r="311" spans="1:28"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2">
        <v>4</v>
      </c>
      <c r="T311" s="2">
        <v>0.2</v>
      </c>
      <c r="U311" s="2">
        <v>3.5948000000000002</v>
      </c>
      <c r="V311" t="str">
        <f t="shared" si="20"/>
        <v>Valid</v>
      </c>
      <c r="W311" s="2">
        <v>267.07</v>
      </c>
      <c r="X311" s="2">
        <v>656.2656164</v>
      </c>
      <c r="Y311" s="2" t="str">
        <f t="shared" si="21"/>
        <v>Normal</v>
      </c>
      <c r="Z311">
        <f t="shared" si="22"/>
        <v>2</v>
      </c>
      <c r="AA311">
        <f t="shared" si="23"/>
        <v>0.23750000000000002</v>
      </c>
      <c r="AB311">
        <f t="shared" si="24"/>
        <v>12.1088</v>
      </c>
    </row>
    <row r="312" spans="1:28"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2">
        <v>2</v>
      </c>
      <c r="T312" s="2">
        <v>0.2</v>
      </c>
      <c r="U312" s="2">
        <v>52.511400000000002</v>
      </c>
      <c r="V312" t="str">
        <f t="shared" si="20"/>
        <v>Valid</v>
      </c>
      <c r="W312" s="2">
        <v>267.07</v>
      </c>
      <c r="X312" s="2">
        <v>656.2656164</v>
      </c>
      <c r="Y312" s="2" t="str">
        <f t="shared" si="21"/>
        <v>Normal</v>
      </c>
      <c r="Z312">
        <f t="shared" si="22"/>
        <v>2</v>
      </c>
      <c r="AA312">
        <f t="shared" si="23"/>
        <v>0.11250000000000002</v>
      </c>
      <c r="AB312">
        <f t="shared" si="24"/>
        <v>373.4144</v>
      </c>
    </row>
    <row r="313" spans="1:28"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2">
        <v>1</v>
      </c>
      <c r="T313" s="2">
        <v>0.2</v>
      </c>
      <c r="U313" s="2">
        <v>1.7136</v>
      </c>
      <c r="V313" t="str">
        <f t="shared" si="20"/>
        <v>Valid</v>
      </c>
      <c r="W313" s="2">
        <v>267.07</v>
      </c>
      <c r="X313" s="2">
        <v>656.2656164</v>
      </c>
      <c r="Y313" s="2" t="str">
        <f t="shared" si="21"/>
        <v>Normal</v>
      </c>
      <c r="Z313">
        <f t="shared" si="22"/>
        <v>2</v>
      </c>
      <c r="AA313">
        <f t="shared" si="23"/>
        <v>0.1125</v>
      </c>
      <c r="AB313">
        <f t="shared" si="24"/>
        <v>12.185600000000001</v>
      </c>
    </row>
    <row r="314" spans="1:28"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2">
        <v>3</v>
      </c>
      <c r="T314" s="2">
        <v>0.2</v>
      </c>
      <c r="U314" s="2">
        <v>2.0358000000000001</v>
      </c>
      <c r="V314" t="str">
        <f t="shared" si="20"/>
        <v>Valid</v>
      </c>
      <c r="W314" s="2">
        <v>267.07</v>
      </c>
      <c r="X314" s="2">
        <v>656.2656164</v>
      </c>
      <c r="Y314" s="2" t="str">
        <f t="shared" si="21"/>
        <v>Normal</v>
      </c>
      <c r="Z314">
        <f t="shared" si="22"/>
        <v>2</v>
      </c>
      <c r="AA314">
        <f t="shared" si="23"/>
        <v>0.32500000000000001</v>
      </c>
      <c r="AB314">
        <f t="shared" si="24"/>
        <v>5.0112000000000005</v>
      </c>
    </row>
    <row r="315" spans="1:28"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s="2">
        <v>3</v>
      </c>
      <c r="T315" s="2">
        <v>0</v>
      </c>
      <c r="U315" s="2">
        <v>37.642200000000003</v>
      </c>
      <c r="V315" t="str">
        <f t="shared" si="20"/>
        <v>Valid</v>
      </c>
      <c r="W315" s="2">
        <v>267.07</v>
      </c>
      <c r="X315" s="2">
        <v>656.2656164</v>
      </c>
      <c r="Y315" s="2" t="str">
        <f t="shared" si="21"/>
        <v>Normal</v>
      </c>
      <c r="Z315">
        <f t="shared" si="22"/>
        <v>6</v>
      </c>
      <c r="AA315">
        <f t="shared" si="23"/>
        <v>0.43</v>
      </c>
      <c r="AB315">
        <f t="shared" si="24"/>
        <v>87.54</v>
      </c>
    </row>
    <row r="316" spans="1:28"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2">
        <v>2</v>
      </c>
      <c r="T316" s="2">
        <v>0.2</v>
      </c>
      <c r="U316" s="2">
        <v>22.297999999999998</v>
      </c>
      <c r="V316" t="str">
        <f t="shared" si="20"/>
        <v>Valid</v>
      </c>
      <c r="W316" s="2">
        <v>267.07</v>
      </c>
      <c r="X316" s="2">
        <v>656.2656164</v>
      </c>
      <c r="Y316" s="2" t="str">
        <f t="shared" si="21"/>
        <v>Normal</v>
      </c>
      <c r="Z316">
        <f t="shared" si="22"/>
        <v>7</v>
      </c>
      <c r="AA316">
        <f t="shared" si="23"/>
        <v>0.125</v>
      </c>
      <c r="AB316">
        <f t="shared" si="24"/>
        <v>142.7072</v>
      </c>
    </row>
    <row r="317" spans="1:28"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s="2">
        <v>3</v>
      </c>
      <c r="T317" s="2">
        <v>0.2</v>
      </c>
      <c r="U317" s="2">
        <v>5.4432</v>
      </c>
      <c r="V317" t="str">
        <f t="shared" si="20"/>
        <v>Valid</v>
      </c>
      <c r="W317" s="2">
        <v>267.07</v>
      </c>
      <c r="X317" s="2">
        <v>656.2656164</v>
      </c>
      <c r="Y317" s="2" t="str">
        <f t="shared" si="21"/>
        <v>Normal</v>
      </c>
      <c r="Z317">
        <f t="shared" si="22"/>
        <v>7</v>
      </c>
      <c r="AA317">
        <f t="shared" si="23"/>
        <v>0.35000000000000003</v>
      </c>
      <c r="AB317">
        <f t="shared" si="24"/>
        <v>12.441600000000001</v>
      </c>
    </row>
    <row r="318" spans="1:28"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2">
        <v>4</v>
      </c>
      <c r="T318" s="2">
        <v>0.2</v>
      </c>
      <c r="U318" s="2">
        <v>8.6744000000000003</v>
      </c>
      <c r="V318" t="str">
        <f t="shared" si="20"/>
        <v>Valid</v>
      </c>
      <c r="W318" s="2">
        <v>267.07</v>
      </c>
      <c r="X318" s="2">
        <v>656.2656164</v>
      </c>
      <c r="Y318" s="2" t="str">
        <f t="shared" si="21"/>
        <v>Normal</v>
      </c>
      <c r="Z318">
        <f t="shared" si="22"/>
        <v>2</v>
      </c>
      <c r="AA318">
        <f t="shared" si="23"/>
        <v>8.7500000000000008E-2</v>
      </c>
      <c r="AB318">
        <f t="shared" si="24"/>
        <v>79.308800000000005</v>
      </c>
    </row>
    <row r="319" spans="1:28"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2">
        <v>1</v>
      </c>
      <c r="T319" s="2">
        <v>0.1</v>
      </c>
      <c r="U319" s="2">
        <v>24.1568</v>
      </c>
      <c r="V319" t="str">
        <f t="shared" si="20"/>
        <v>Valid</v>
      </c>
      <c r="W319" s="2">
        <v>267.07</v>
      </c>
      <c r="X319" s="2">
        <v>656.2656164</v>
      </c>
      <c r="Y319" s="2" t="str">
        <f t="shared" si="21"/>
        <v>Normal</v>
      </c>
      <c r="Z319">
        <f t="shared" si="22"/>
        <v>5</v>
      </c>
      <c r="AA319">
        <f t="shared" si="23"/>
        <v>0.17777777777777778</v>
      </c>
      <c r="AB319">
        <f t="shared" si="24"/>
        <v>122.2938</v>
      </c>
    </row>
    <row r="320" spans="1:28"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2">
        <v>2</v>
      </c>
      <c r="T320" s="2">
        <v>0</v>
      </c>
      <c r="U320" s="2">
        <v>1995.99</v>
      </c>
      <c r="V320" t="str">
        <f t="shared" si="20"/>
        <v>Valid</v>
      </c>
      <c r="W320" s="2">
        <v>267.07</v>
      </c>
      <c r="X320" s="2">
        <v>656.2656164</v>
      </c>
      <c r="Y320" s="2" t="str">
        <f t="shared" si="21"/>
        <v>High Outlier</v>
      </c>
      <c r="Z320">
        <f t="shared" si="22"/>
        <v>5</v>
      </c>
      <c r="AA320">
        <f t="shared" si="23"/>
        <v>0.5</v>
      </c>
      <c r="AB320">
        <f t="shared" si="24"/>
        <v>3991.98</v>
      </c>
    </row>
    <row r="321" spans="1:28"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s="2">
        <v>6</v>
      </c>
      <c r="T321" s="2">
        <v>0</v>
      </c>
      <c r="U321" s="2">
        <v>80.022599999999997</v>
      </c>
      <c r="V321" t="str">
        <f t="shared" si="20"/>
        <v>Valid</v>
      </c>
      <c r="W321" s="2">
        <v>267.07</v>
      </c>
      <c r="X321" s="2">
        <v>656.2656164</v>
      </c>
      <c r="Y321" s="2" t="str">
        <f t="shared" si="21"/>
        <v>Normal</v>
      </c>
      <c r="Z321">
        <f t="shared" si="22"/>
        <v>5</v>
      </c>
      <c r="AA321">
        <f t="shared" si="23"/>
        <v>0.28999999999999998</v>
      </c>
      <c r="AB321">
        <f t="shared" si="24"/>
        <v>275.94</v>
      </c>
    </row>
    <row r="322" spans="1:28"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s="2">
        <v>4</v>
      </c>
      <c r="T322" s="2">
        <v>0</v>
      </c>
      <c r="U322" s="2">
        <v>129.6</v>
      </c>
      <c r="V322" t="str">
        <f t="shared" si="20"/>
        <v>Valid</v>
      </c>
      <c r="W322" s="2">
        <v>267.07</v>
      </c>
      <c r="X322" s="2">
        <v>656.2656164</v>
      </c>
      <c r="Y322" s="2" t="str">
        <f t="shared" si="21"/>
        <v>Normal</v>
      </c>
      <c r="Z322">
        <f t="shared" si="22"/>
        <v>5</v>
      </c>
      <c r="AA322">
        <f t="shared" si="23"/>
        <v>0.36</v>
      </c>
      <c r="AB322">
        <f t="shared" si="24"/>
        <v>360</v>
      </c>
    </row>
    <row r="323" spans="1:28"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s="2">
        <v>1</v>
      </c>
      <c r="T323" s="2">
        <v>0</v>
      </c>
      <c r="U323" s="2">
        <v>13.071</v>
      </c>
      <c r="V323" t="str">
        <f t="shared" ref="V323:V386" si="25">IF(D323&gt;=C323, "Valid", "Error")</f>
        <v>Valid</v>
      </c>
      <c r="W323" s="2">
        <v>267.07</v>
      </c>
      <c r="X323" s="2">
        <v>656.2656164</v>
      </c>
      <c r="Y323" s="2" t="str">
        <f t="shared" ref="Y323:Y386" si="26">IF(R323 &gt;(W323 + 3*X323), "High Outlier",  "Normal")</f>
        <v>Normal</v>
      </c>
      <c r="Z323">
        <f t="shared" ref="Z323:Z386" si="27">_xlfn.DAYS(D323,C323)</f>
        <v>5</v>
      </c>
      <c r="AA323">
        <f t="shared" ref="AA323:AA386" si="28">U323/R323</f>
        <v>0.3</v>
      </c>
      <c r="AB323">
        <f t="shared" ref="AB323:AB386" si="29">R323*(1-T323)</f>
        <v>43.57</v>
      </c>
    </row>
    <row r="324" spans="1:28"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s="2">
        <v>2</v>
      </c>
      <c r="T324" s="2">
        <v>0</v>
      </c>
      <c r="U324" s="2">
        <v>3.58</v>
      </c>
      <c r="V324" t="str">
        <f t="shared" si="25"/>
        <v>Valid</v>
      </c>
      <c r="W324" s="2">
        <v>267.07</v>
      </c>
      <c r="X324" s="2">
        <v>656.2656164</v>
      </c>
      <c r="Y324" s="2" t="str">
        <f t="shared" si="26"/>
        <v>Normal</v>
      </c>
      <c r="Z324">
        <f t="shared" si="27"/>
        <v>5</v>
      </c>
      <c r="AA324">
        <f t="shared" si="28"/>
        <v>0.5</v>
      </c>
      <c r="AB324">
        <f t="shared" si="29"/>
        <v>7.16</v>
      </c>
    </row>
    <row r="325" spans="1:28"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s="2">
        <v>6</v>
      </c>
      <c r="T325" s="2">
        <v>0.2</v>
      </c>
      <c r="U325" s="2">
        <v>81.744</v>
      </c>
      <c r="V325" t="str">
        <f t="shared" si="25"/>
        <v>Valid</v>
      </c>
      <c r="W325" s="2">
        <v>267.07</v>
      </c>
      <c r="X325" s="2">
        <v>656.2656164</v>
      </c>
      <c r="Y325" s="2" t="str">
        <f t="shared" si="26"/>
        <v>Normal</v>
      </c>
      <c r="Z325">
        <f t="shared" si="27"/>
        <v>4</v>
      </c>
      <c r="AA325">
        <f t="shared" si="28"/>
        <v>0.32500000000000001</v>
      </c>
      <c r="AB325">
        <f t="shared" si="29"/>
        <v>201.21600000000001</v>
      </c>
    </row>
    <row r="326" spans="1:28"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s="2">
        <v>1</v>
      </c>
      <c r="T326" s="2">
        <v>0</v>
      </c>
      <c r="U326" s="2">
        <v>34.996499999999997</v>
      </c>
      <c r="V326" t="str">
        <f t="shared" si="25"/>
        <v>Valid</v>
      </c>
      <c r="W326" s="2">
        <v>267.07</v>
      </c>
      <c r="X326" s="2">
        <v>656.2656164</v>
      </c>
      <c r="Y326" s="2" t="str">
        <f t="shared" si="26"/>
        <v>Normal</v>
      </c>
      <c r="Z326">
        <f t="shared" si="27"/>
        <v>4</v>
      </c>
      <c r="AA326">
        <f t="shared" si="28"/>
        <v>0.35</v>
      </c>
      <c r="AB326">
        <f t="shared" si="29"/>
        <v>99.99</v>
      </c>
    </row>
    <row r="327" spans="1:28"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2">
        <v>1</v>
      </c>
      <c r="T327" s="2">
        <v>0.2</v>
      </c>
      <c r="U327" s="2">
        <v>0.99950000000000006</v>
      </c>
      <c r="V327" t="str">
        <f t="shared" si="25"/>
        <v>Valid</v>
      </c>
      <c r="W327" s="2">
        <v>267.07</v>
      </c>
      <c r="X327" s="2">
        <v>656.2656164</v>
      </c>
      <c r="Y327" s="2" t="str">
        <f t="shared" si="26"/>
        <v>Normal</v>
      </c>
      <c r="Z327">
        <f t="shared" si="27"/>
        <v>2</v>
      </c>
      <c r="AA327">
        <f t="shared" si="28"/>
        <v>6.25E-2</v>
      </c>
      <c r="AB327">
        <f t="shared" si="29"/>
        <v>12.793600000000001</v>
      </c>
    </row>
    <row r="328" spans="1:28"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2">
        <v>3</v>
      </c>
      <c r="T328" s="2">
        <v>0.4</v>
      </c>
      <c r="U328" s="2">
        <v>-67.876199999999997</v>
      </c>
      <c r="V328" t="str">
        <f t="shared" si="25"/>
        <v>Valid</v>
      </c>
      <c r="W328" s="2">
        <v>267.07</v>
      </c>
      <c r="X328" s="2">
        <v>656.2656164</v>
      </c>
      <c r="Y328" s="2" t="str">
        <f t="shared" si="26"/>
        <v>Normal</v>
      </c>
      <c r="Z328">
        <f t="shared" si="27"/>
        <v>2</v>
      </c>
      <c r="AA328">
        <f t="shared" si="28"/>
        <v>-0.23333333333333331</v>
      </c>
      <c r="AB328">
        <f t="shared" si="29"/>
        <v>174.53880000000001</v>
      </c>
    </row>
    <row r="329" spans="1:28"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2">
        <v>2</v>
      </c>
      <c r="T329" s="2">
        <v>0.2</v>
      </c>
      <c r="U329" s="2">
        <v>3.3889999999999998</v>
      </c>
      <c r="V329" t="str">
        <f t="shared" si="25"/>
        <v>Valid</v>
      </c>
      <c r="W329" s="2">
        <v>267.07</v>
      </c>
      <c r="X329" s="2">
        <v>656.2656164</v>
      </c>
      <c r="Y329" s="2" t="str">
        <f t="shared" si="26"/>
        <v>Normal</v>
      </c>
      <c r="Z329">
        <f t="shared" si="27"/>
        <v>2</v>
      </c>
      <c r="AA329">
        <f t="shared" si="28"/>
        <v>6.25E-2</v>
      </c>
      <c r="AB329">
        <f t="shared" si="29"/>
        <v>43.379199999999997</v>
      </c>
    </row>
    <row r="330" spans="1:28"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2">
        <v>4</v>
      </c>
      <c r="T330" s="2">
        <v>0.3</v>
      </c>
      <c r="U330" s="2">
        <v>-258.5016</v>
      </c>
      <c r="V330" t="str">
        <f t="shared" si="25"/>
        <v>Valid</v>
      </c>
      <c r="W330" s="2">
        <v>267.07</v>
      </c>
      <c r="X330" s="2">
        <v>656.2656164</v>
      </c>
      <c r="Y330" s="2" t="str">
        <f t="shared" si="26"/>
        <v>Normal</v>
      </c>
      <c r="Z330">
        <f t="shared" si="27"/>
        <v>2</v>
      </c>
      <c r="AA330">
        <f t="shared" si="28"/>
        <v>-0.32857142857142857</v>
      </c>
      <c r="AB330">
        <f t="shared" si="29"/>
        <v>550.72079999999994</v>
      </c>
    </row>
    <row r="331" spans="1:28"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2">
        <v>10</v>
      </c>
      <c r="T331" s="2">
        <v>0.2</v>
      </c>
      <c r="U331" s="2">
        <v>33.831000000000003</v>
      </c>
      <c r="V331" t="str">
        <f t="shared" si="25"/>
        <v>Valid</v>
      </c>
      <c r="W331" s="2">
        <v>267.07</v>
      </c>
      <c r="X331" s="2">
        <v>656.2656164</v>
      </c>
      <c r="Y331" s="2" t="str">
        <f t="shared" si="26"/>
        <v>Normal</v>
      </c>
      <c r="Z331">
        <f t="shared" si="27"/>
        <v>2</v>
      </c>
      <c r="AA331">
        <f t="shared" si="28"/>
        <v>0.33750000000000002</v>
      </c>
      <c r="AB331">
        <f t="shared" si="29"/>
        <v>80.192000000000007</v>
      </c>
    </row>
    <row r="332" spans="1:28"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2">
        <v>6</v>
      </c>
      <c r="T332" s="2">
        <v>0.7</v>
      </c>
      <c r="U332" s="2">
        <v>-27.6936</v>
      </c>
      <c r="V332" t="str">
        <f t="shared" si="25"/>
        <v>Valid</v>
      </c>
      <c r="W332" s="2">
        <v>267.07</v>
      </c>
      <c r="X332" s="2">
        <v>656.2656164</v>
      </c>
      <c r="Y332" s="2" t="str">
        <f t="shared" si="26"/>
        <v>Normal</v>
      </c>
      <c r="Z332">
        <f t="shared" si="27"/>
        <v>2</v>
      </c>
      <c r="AA332">
        <f t="shared" si="28"/>
        <v>-0.73333333333333328</v>
      </c>
      <c r="AB332">
        <f t="shared" si="29"/>
        <v>11.329200000000002</v>
      </c>
    </row>
    <row r="333" spans="1:28"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s="2">
        <v>2</v>
      </c>
      <c r="T333" s="2">
        <v>0.4</v>
      </c>
      <c r="U333" s="2">
        <v>-20.7</v>
      </c>
      <c r="V333" t="str">
        <f t="shared" si="25"/>
        <v>Valid</v>
      </c>
      <c r="W333" s="2">
        <v>267.07</v>
      </c>
      <c r="X333" s="2">
        <v>656.2656164</v>
      </c>
      <c r="Y333" s="2" t="str">
        <f t="shared" si="26"/>
        <v>Normal</v>
      </c>
      <c r="Z333">
        <f t="shared" si="27"/>
        <v>4</v>
      </c>
      <c r="AA333">
        <f t="shared" si="28"/>
        <v>-0.25</v>
      </c>
      <c r="AB333">
        <f t="shared" si="29"/>
        <v>49.68</v>
      </c>
    </row>
    <row r="334" spans="1:28"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s="2">
        <v>2</v>
      </c>
      <c r="T334" s="2">
        <v>0.7</v>
      </c>
      <c r="U334" s="2">
        <v>-13.816000000000001</v>
      </c>
      <c r="V334" t="str">
        <f t="shared" si="25"/>
        <v>Valid</v>
      </c>
      <c r="W334" s="2">
        <v>267.07</v>
      </c>
      <c r="X334" s="2">
        <v>656.2656164</v>
      </c>
      <c r="Y334" s="2" t="str">
        <f t="shared" si="26"/>
        <v>Normal</v>
      </c>
      <c r="Z334">
        <f t="shared" si="27"/>
        <v>4</v>
      </c>
      <c r="AA334">
        <f t="shared" si="28"/>
        <v>-0.66666666666666674</v>
      </c>
      <c r="AB334">
        <f t="shared" si="29"/>
        <v>6.2172000000000009</v>
      </c>
    </row>
    <row r="335" spans="1:28"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2">
        <v>3</v>
      </c>
      <c r="T335" s="2">
        <v>0.7</v>
      </c>
      <c r="U335" s="2">
        <v>-3.4272</v>
      </c>
      <c r="V335" t="str">
        <f t="shared" si="25"/>
        <v>Valid</v>
      </c>
      <c r="W335" s="2">
        <v>267.07</v>
      </c>
      <c r="X335" s="2">
        <v>656.2656164</v>
      </c>
      <c r="Y335" s="2" t="str">
        <f t="shared" si="26"/>
        <v>Normal</v>
      </c>
      <c r="Z335">
        <f t="shared" si="27"/>
        <v>4</v>
      </c>
      <c r="AA335">
        <f t="shared" si="28"/>
        <v>-0.70000000000000007</v>
      </c>
      <c r="AB335">
        <f t="shared" si="29"/>
        <v>1.4688000000000001</v>
      </c>
    </row>
    <row r="336" spans="1:28"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2">
        <v>1</v>
      </c>
      <c r="T336" s="2">
        <v>0.2</v>
      </c>
      <c r="U336" s="2">
        <v>1.6037999999999999</v>
      </c>
      <c r="V336" t="str">
        <f t="shared" si="25"/>
        <v>Valid</v>
      </c>
      <c r="W336" s="2">
        <v>267.07</v>
      </c>
      <c r="X336" s="2">
        <v>656.2656164</v>
      </c>
      <c r="Y336" s="2" t="str">
        <f t="shared" si="26"/>
        <v>Normal</v>
      </c>
      <c r="Z336">
        <f t="shared" si="27"/>
        <v>3</v>
      </c>
      <c r="AA336">
        <f t="shared" si="28"/>
        <v>0.33749999999999997</v>
      </c>
      <c r="AB336">
        <f t="shared" si="29"/>
        <v>3.8016000000000001</v>
      </c>
    </row>
    <row r="337" spans="1:28"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2">
        <v>2</v>
      </c>
      <c r="T337" s="2">
        <v>0.2</v>
      </c>
      <c r="U337" s="2">
        <v>335.99439999999998</v>
      </c>
      <c r="V337" t="str">
        <f t="shared" si="25"/>
        <v>Valid</v>
      </c>
      <c r="W337" s="2">
        <v>267.07</v>
      </c>
      <c r="X337" s="2">
        <v>656.2656164</v>
      </c>
      <c r="Y337" s="2" t="str">
        <f t="shared" si="26"/>
        <v>Normal</v>
      </c>
      <c r="Z337">
        <f t="shared" si="27"/>
        <v>3</v>
      </c>
      <c r="AA337">
        <f t="shared" si="28"/>
        <v>0.35</v>
      </c>
      <c r="AB337">
        <f t="shared" si="29"/>
        <v>767.98720000000003</v>
      </c>
    </row>
    <row r="338" spans="1:28"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s="2">
        <v>4</v>
      </c>
      <c r="T338" s="2">
        <v>0.2</v>
      </c>
      <c r="U338" s="2">
        <v>4.49</v>
      </c>
      <c r="V338" t="str">
        <f t="shared" si="25"/>
        <v>Valid</v>
      </c>
      <c r="W338" s="2">
        <v>267.07</v>
      </c>
      <c r="X338" s="2">
        <v>656.2656164</v>
      </c>
      <c r="Y338" s="2" t="str">
        <f t="shared" si="26"/>
        <v>Normal</v>
      </c>
      <c r="Z338">
        <f t="shared" si="27"/>
        <v>3</v>
      </c>
      <c r="AA338">
        <f t="shared" si="28"/>
        <v>0.3125</v>
      </c>
      <c r="AB338">
        <f t="shared" si="29"/>
        <v>11.494400000000001</v>
      </c>
    </row>
    <row r="339" spans="1:28"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2">
        <v>2</v>
      </c>
      <c r="T339" s="2">
        <v>0.2</v>
      </c>
      <c r="U339" s="2">
        <v>2.7955999999999999</v>
      </c>
      <c r="V339" t="str">
        <f t="shared" si="25"/>
        <v>Valid</v>
      </c>
      <c r="W339" s="2">
        <v>267.07</v>
      </c>
      <c r="X339" s="2">
        <v>656.2656164</v>
      </c>
      <c r="Y339" s="2" t="str">
        <f t="shared" si="26"/>
        <v>Normal</v>
      </c>
      <c r="Z339">
        <f t="shared" si="27"/>
        <v>5</v>
      </c>
      <c r="AA339">
        <f t="shared" si="28"/>
        <v>0.36249999999999999</v>
      </c>
      <c r="AB339">
        <f t="shared" si="29"/>
        <v>6.1696</v>
      </c>
    </row>
    <row r="340" spans="1:28"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2">
        <v>3</v>
      </c>
      <c r="T340" s="2">
        <v>0.2</v>
      </c>
      <c r="U340" s="2">
        <v>-17.4588</v>
      </c>
      <c r="V340" t="str">
        <f t="shared" si="25"/>
        <v>Valid</v>
      </c>
      <c r="W340" s="2">
        <v>267.07</v>
      </c>
      <c r="X340" s="2">
        <v>656.2656164</v>
      </c>
      <c r="Y340" s="2" t="str">
        <f t="shared" si="26"/>
        <v>Normal</v>
      </c>
      <c r="Z340">
        <f t="shared" si="27"/>
        <v>5</v>
      </c>
      <c r="AA340">
        <f t="shared" si="28"/>
        <v>-2.5000000000000001E-2</v>
      </c>
      <c r="AB340">
        <f t="shared" si="29"/>
        <v>558.6816</v>
      </c>
    </row>
    <row r="341" spans="1:28"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s="2">
        <v>4</v>
      </c>
      <c r="T341" s="2">
        <v>0</v>
      </c>
      <c r="U341" s="2">
        <v>2.3311999999999999</v>
      </c>
      <c r="V341" t="str">
        <f t="shared" si="25"/>
        <v>Valid</v>
      </c>
      <c r="W341" s="2">
        <v>267.07</v>
      </c>
      <c r="X341" s="2">
        <v>656.2656164</v>
      </c>
      <c r="Y341" s="2" t="str">
        <f t="shared" si="26"/>
        <v>Normal</v>
      </c>
      <c r="Z341">
        <f t="shared" si="27"/>
        <v>4</v>
      </c>
      <c r="AA341">
        <f t="shared" si="28"/>
        <v>0.47</v>
      </c>
      <c r="AB341">
        <f t="shared" si="29"/>
        <v>4.96</v>
      </c>
    </row>
    <row r="342" spans="1:28"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2">
        <v>4</v>
      </c>
      <c r="T342" s="2">
        <v>0.2</v>
      </c>
      <c r="U342" s="2">
        <v>1.1160000000000001</v>
      </c>
      <c r="V342" t="str">
        <f t="shared" si="25"/>
        <v>Valid</v>
      </c>
      <c r="W342" s="2">
        <v>267.07</v>
      </c>
      <c r="X342" s="2">
        <v>656.2656164</v>
      </c>
      <c r="Y342" s="2" t="str">
        <f t="shared" si="26"/>
        <v>Normal</v>
      </c>
      <c r="Z342">
        <f t="shared" si="27"/>
        <v>4</v>
      </c>
      <c r="AA342">
        <f t="shared" si="28"/>
        <v>6.25E-2</v>
      </c>
      <c r="AB342">
        <f t="shared" si="29"/>
        <v>14.284800000000002</v>
      </c>
    </row>
    <row r="343" spans="1:28"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s="2">
        <v>10</v>
      </c>
      <c r="T343" s="2">
        <v>0.7</v>
      </c>
      <c r="U343" s="2">
        <v>-407.976</v>
      </c>
      <c r="V343" t="str">
        <f t="shared" si="25"/>
        <v>Valid</v>
      </c>
      <c r="W343" s="2">
        <v>267.07</v>
      </c>
      <c r="X343" s="2">
        <v>656.2656164</v>
      </c>
      <c r="Y343" s="2" t="str">
        <f t="shared" si="26"/>
        <v>Normal</v>
      </c>
      <c r="Z343">
        <f t="shared" si="27"/>
        <v>4</v>
      </c>
      <c r="AA343">
        <f t="shared" si="28"/>
        <v>-0.79999999999999993</v>
      </c>
      <c r="AB343">
        <f t="shared" si="29"/>
        <v>152.99100000000004</v>
      </c>
    </row>
    <row r="344" spans="1:28"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2">
        <v>13</v>
      </c>
      <c r="T344" s="2">
        <v>0.2</v>
      </c>
      <c r="U344" s="2">
        <v>10.0724</v>
      </c>
      <c r="V344" t="str">
        <f t="shared" si="25"/>
        <v>Valid</v>
      </c>
      <c r="W344" s="2">
        <v>267.07</v>
      </c>
      <c r="X344" s="2">
        <v>656.2656164</v>
      </c>
      <c r="Y344" s="2" t="str">
        <f t="shared" si="26"/>
        <v>Normal</v>
      </c>
      <c r="Z344">
        <f t="shared" si="27"/>
        <v>4</v>
      </c>
      <c r="AA344">
        <f t="shared" si="28"/>
        <v>0.32500000000000001</v>
      </c>
      <c r="AB344">
        <f t="shared" si="29"/>
        <v>24.793600000000001</v>
      </c>
    </row>
    <row r="345" spans="1:28"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2">
        <v>12</v>
      </c>
      <c r="T345" s="2">
        <v>0.4</v>
      </c>
      <c r="U345" s="2">
        <v>8.3916000000000004</v>
      </c>
      <c r="V345" t="str">
        <f t="shared" si="25"/>
        <v>Valid</v>
      </c>
      <c r="W345" s="2">
        <v>267.07</v>
      </c>
      <c r="X345" s="2">
        <v>656.2656164</v>
      </c>
      <c r="Y345" s="2" t="str">
        <f t="shared" si="26"/>
        <v>Normal</v>
      </c>
      <c r="Z345">
        <f t="shared" si="27"/>
        <v>4</v>
      </c>
      <c r="AA345">
        <f t="shared" si="28"/>
        <v>0.11666666666666668</v>
      </c>
      <c r="AB345">
        <f t="shared" si="29"/>
        <v>43.156799999999997</v>
      </c>
    </row>
    <row r="346" spans="1:28"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s="2">
        <v>4</v>
      </c>
      <c r="T346" s="2">
        <v>0.2</v>
      </c>
      <c r="U346" s="2">
        <v>-2.2200000000000002</v>
      </c>
      <c r="V346" t="str">
        <f t="shared" si="25"/>
        <v>Valid</v>
      </c>
      <c r="W346" s="2">
        <v>267.07</v>
      </c>
      <c r="X346" s="2">
        <v>656.2656164</v>
      </c>
      <c r="Y346" s="2" t="str">
        <f t="shared" si="26"/>
        <v>Normal</v>
      </c>
      <c r="Z346">
        <f t="shared" si="27"/>
        <v>4</v>
      </c>
      <c r="AA346">
        <f t="shared" si="28"/>
        <v>-2.5000000000000001E-2</v>
      </c>
      <c r="AB346">
        <f t="shared" si="29"/>
        <v>71.040000000000006</v>
      </c>
    </row>
    <row r="347" spans="1:28"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2">
        <v>3</v>
      </c>
      <c r="T347" s="2">
        <v>0.2</v>
      </c>
      <c r="U347" s="2">
        <v>4.7976000000000001</v>
      </c>
      <c r="V347" t="str">
        <f t="shared" si="25"/>
        <v>Valid</v>
      </c>
      <c r="W347" s="2">
        <v>267.07</v>
      </c>
      <c r="X347" s="2">
        <v>656.2656164</v>
      </c>
      <c r="Y347" s="2" t="str">
        <f t="shared" si="26"/>
        <v>Normal</v>
      </c>
      <c r="Z347">
        <f t="shared" si="27"/>
        <v>4</v>
      </c>
      <c r="AA347">
        <f t="shared" si="28"/>
        <v>0.1</v>
      </c>
      <c r="AB347">
        <f t="shared" si="29"/>
        <v>38.380800000000001</v>
      </c>
    </row>
    <row r="348" spans="1:28"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s="2">
        <v>3</v>
      </c>
      <c r="T348" s="2">
        <v>0</v>
      </c>
      <c r="U348" s="2">
        <v>3.0996000000000001</v>
      </c>
      <c r="V348" t="str">
        <f t="shared" si="25"/>
        <v>Valid</v>
      </c>
      <c r="W348" s="2">
        <v>267.07</v>
      </c>
      <c r="X348" s="2">
        <v>656.2656164</v>
      </c>
      <c r="Y348" s="2" t="str">
        <f t="shared" si="26"/>
        <v>Normal</v>
      </c>
      <c r="Z348">
        <f t="shared" si="27"/>
        <v>4</v>
      </c>
      <c r="AA348">
        <f t="shared" si="28"/>
        <v>0.41000000000000003</v>
      </c>
      <c r="AB348">
        <f t="shared" si="29"/>
        <v>7.56</v>
      </c>
    </row>
    <row r="349" spans="1:28"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s="2">
        <v>2</v>
      </c>
      <c r="T349" s="2">
        <v>0</v>
      </c>
      <c r="U349" s="2">
        <v>11.543200000000001</v>
      </c>
      <c r="V349" t="str">
        <f t="shared" si="25"/>
        <v>Valid</v>
      </c>
      <c r="W349" s="2">
        <v>267.07</v>
      </c>
      <c r="X349" s="2">
        <v>656.2656164</v>
      </c>
      <c r="Y349" s="2" t="str">
        <f t="shared" si="26"/>
        <v>Normal</v>
      </c>
      <c r="Z349">
        <f t="shared" si="27"/>
        <v>4</v>
      </c>
      <c r="AA349">
        <f t="shared" si="28"/>
        <v>0.47000000000000003</v>
      </c>
      <c r="AB349">
        <f t="shared" si="29"/>
        <v>24.56</v>
      </c>
    </row>
    <row r="350" spans="1:28"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s="2">
        <v>2</v>
      </c>
      <c r="T350" s="2">
        <v>0</v>
      </c>
      <c r="U350" s="2">
        <v>4.1471999999999998</v>
      </c>
      <c r="V350" t="str">
        <f t="shared" si="25"/>
        <v>Valid</v>
      </c>
      <c r="W350" s="2">
        <v>267.07</v>
      </c>
      <c r="X350" s="2">
        <v>656.2656164</v>
      </c>
      <c r="Y350" s="2" t="str">
        <f t="shared" si="26"/>
        <v>Normal</v>
      </c>
      <c r="Z350">
        <f t="shared" si="27"/>
        <v>4</v>
      </c>
      <c r="AA350">
        <f t="shared" si="28"/>
        <v>0.31999999999999995</v>
      </c>
      <c r="AB350">
        <f t="shared" si="29"/>
        <v>12.96</v>
      </c>
    </row>
    <row r="351" spans="1:28"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s="2">
        <v>1</v>
      </c>
      <c r="T351" s="2">
        <v>0</v>
      </c>
      <c r="U351" s="2">
        <v>2.3086000000000002</v>
      </c>
      <c r="V351" t="str">
        <f t="shared" si="25"/>
        <v>Valid</v>
      </c>
      <c r="W351" s="2">
        <v>267.07</v>
      </c>
      <c r="X351" s="2">
        <v>656.2656164</v>
      </c>
      <c r="Y351" s="2" t="str">
        <f t="shared" si="26"/>
        <v>Normal</v>
      </c>
      <c r="Z351">
        <f t="shared" si="27"/>
        <v>2</v>
      </c>
      <c r="AA351">
        <f t="shared" si="28"/>
        <v>0.34</v>
      </c>
      <c r="AB351">
        <f t="shared" si="29"/>
        <v>6.79</v>
      </c>
    </row>
    <row r="352" spans="1:28"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2">
        <v>2</v>
      </c>
      <c r="T352" s="2">
        <v>0</v>
      </c>
      <c r="U352" s="2">
        <v>11.543200000000001</v>
      </c>
      <c r="V352" t="str">
        <f t="shared" si="25"/>
        <v>Valid</v>
      </c>
      <c r="W352" s="2">
        <v>267.07</v>
      </c>
      <c r="X352" s="2">
        <v>656.2656164</v>
      </c>
      <c r="Y352" s="2" t="str">
        <f t="shared" si="26"/>
        <v>Normal</v>
      </c>
      <c r="Z352">
        <f t="shared" si="27"/>
        <v>2</v>
      </c>
      <c r="AA352">
        <f t="shared" si="28"/>
        <v>0.47000000000000003</v>
      </c>
      <c r="AB352">
        <f t="shared" si="29"/>
        <v>24.56</v>
      </c>
    </row>
    <row r="353" spans="1:28"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2">
        <v>1</v>
      </c>
      <c r="T353" s="2">
        <v>0.2</v>
      </c>
      <c r="U353" s="2">
        <v>1.0668</v>
      </c>
      <c r="V353" t="str">
        <f t="shared" si="25"/>
        <v>Valid</v>
      </c>
      <c r="W353" s="2">
        <v>267.07</v>
      </c>
      <c r="X353" s="2">
        <v>656.2656164</v>
      </c>
      <c r="Y353" s="2" t="str">
        <f t="shared" si="26"/>
        <v>Normal</v>
      </c>
      <c r="Z353">
        <f t="shared" si="27"/>
        <v>2</v>
      </c>
      <c r="AA353">
        <f t="shared" si="28"/>
        <v>0.35</v>
      </c>
      <c r="AB353">
        <f t="shared" si="29"/>
        <v>2.4384000000000001</v>
      </c>
    </row>
    <row r="354" spans="1:28"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s="2">
        <v>4</v>
      </c>
      <c r="T354" s="2">
        <v>0</v>
      </c>
      <c r="U354" s="2">
        <v>23.086400000000001</v>
      </c>
      <c r="V354" t="str">
        <f t="shared" si="25"/>
        <v>Valid</v>
      </c>
      <c r="W354" s="2">
        <v>267.07</v>
      </c>
      <c r="X354" s="2">
        <v>656.2656164</v>
      </c>
      <c r="Y354" s="2" t="str">
        <f t="shared" si="26"/>
        <v>Normal</v>
      </c>
      <c r="Z354">
        <f t="shared" si="27"/>
        <v>2</v>
      </c>
      <c r="AA354">
        <f t="shared" si="28"/>
        <v>0.47000000000000003</v>
      </c>
      <c r="AB354">
        <f t="shared" si="29"/>
        <v>49.12</v>
      </c>
    </row>
    <row r="355" spans="1:28"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s="2">
        <v>4</v>
      </c>
      <c r="T355" s="2">
        <v>0.2</v>
      </c>
      <c r="U355" s="2">
        <v>1415.4295999999999</v>
      </c>
      <c r="V355" t="str">
        <f t="shared" si="25"/>
        <v>Valid</v>
      </c>
      <c r="W355" s="2">
        <v>267.07</v>
      </c>
      <c r="X355" s="2">
        <v>656.2656164</v>
      </c>
      <c r="Y355" s="2" t="str">
        <f t="shared" si="26"/>
        <v>High Outlier</v>
      </c>
      <c r="Z355">
        <f t="shared" si="27"/>
        <v>2</v>
      </c>
      <c r="AA355">
        <f t="shared" si="28"/>
        <v>0.32500000000000001</v>
      </c>
      <c r="AB355">
        <f t="shared" si="29"/>
        <v>3484.1343999999999</v>
      </c>
    </row>
    <row r="356" spans="1:28"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s="2">
        <v>6</v>
      </c>
      <c r="T356" s="2">
        <v>0.2</v>
      </c>
      <c r="U356" s="2">
        <v>-4.8587999999999996</v>
      </c>
      <c r="V356" t="str">
        <f t="shared" si="25"/>
        <v>Valid</v>
      </c>
      <c r="W356" s="2">
        <v>267.07</v>
      </c>
      <c r="X356" s="2">
        <v>656.2656164</v>
      </c>
      <c r="Y356" s="2" t="str">
        <f t="shared" si="26"/>
        <v>Normal</v>
      </c>
      <c r="Z356">
        <f t="shared" si="27"/>
        <v>5</v>
      </c>
      <c r="AA356">
        <f t="shared" si="28"/>
        <v>-1.2499999999999999E-2</v>
      </c>
      <c r="AB356">
        <f t="shared" si="29"/>
        <v>310.96320000000003</v>
      </c>
    </row>
    <row r="357" spans="1:28"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s="2">
        <v>2</v>
      </c>
      <c r="T357" s="2">
        <v>0</v>
      </c>
      <c r="U357" s="2">
        <v>3.7995999999999999</v>
      </c>
      <c r="V357" t="str">
        <f t="shared" si="25"/>
        <v>Valid</v>
      </c>
      <c r="W357" s="2">
        <v>267.07</v>
      </c>
      <c r="X357" s="2">
        <v>656.2656164</v>
      </c>
      <c r="Y357" s="2" t="str">
        <f t="shared" si="26"/>
        <v>Normal</v>
      </c>
      <c r="Z357">
        <f t="shared" si="27"/>
        <v>5</v>
      </c>
      <c r="AA357">
        <f t="shared" si="28"/>
        <v>0.46</v>
      </c>
      <c r="AB357">
        <f t="shared" si="29"/>
        <v>8.26</v>
      </c>
    </row>
    <row r="358" spans="1:28"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s="2">
        <v>4</v>
      </c>
      <c r="T358" s="2">
        <v>0</v>
      </c>
      <c r="U358" s="2">
        <v>6.9863999999999997</v>
      </c>
      <c r="V358" t="str">
        <f t="shared" si="25"/>
        <v>Valid</v>
      </c>
      <c r="W358" s="2">
        <v>267.07</v>
      </c>
      <c r="X358" s="2">
        <v>656.2656164</v>
      </c>
      <c r="Y358" s="2" t="str">
        <f t="shared" si="26"/>
        <v>Normal</v>
      </c>
      <c r="Z358">
        <f t="shared" si="27"/>
        <v>5</v>
      </c>
      <c r="AA358">
        <f t="shared" si="28"/>
        <v>0.41000000000000003</v>
      </c>
      <c r="AB358">
        <f t="shared" si="29"/>
        <v>17.04</v>
      </c>
    </row>
    <row r="359" spans="1:28"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s="2">
        <v>5</v>
      </c>
      <c r="T359" s="2">
        <v>0</v>
      </c>
      <c r="U359" s="2">
        <v>15.824</v>
      </c>
      <c r="V359" t="str">
        <f t="shared" si="25"/>
        <v>Valid</v>
      </c>
      <c r="W359" s="2">
        <v>267.07</v>
      </c>
      <c r="X359" s="2">
        <v>656.2656164</v>
      </c>
      <c r="Y359" s="2" t="str">
        <f t="shared" si="26"/>
        <v>Normal</v>
      </c>
      <c r="Z359">
        <f t="shared" si="27"/>
        <v>5</v>
      </c>
      <c r="AA359">
        <f t="shared" si="28"/>
        <v>0.46</v>
      </c>
      <c r="AB359">
        <f t="shared" si="29"/>
        <v>34.4</v>
      </c>
    </row>
    <row r="360" spans="1:28"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s="2">
        <v>5</v>
      </c>
      <c r="T360" s="2">
        <v>0.2</v>
      </c>
      <c r="U360" s="2">
        <v>11.324999999999999</v>
      </c>
      <c r="V360" t="str">
        <f t="shared" si="25"/>
        <v>Valid</v>
      </c>
      <c r="W360" s="2">
        <v>267.07</v>
      </c>
      <c r="X360" s="2">
        <v>656.2656164</v>
      </c>
      <c r="Y360" s="2" t="str">
        <f t="shared" si="26"/>
        <v>Normal</v>
      </c>
      <c r="Z360">
        <f t="shared" si="27"/>
        <v>5</v>
      </c>
      <c r="AA360">
        <f t="shared" si="28"/>
        <v>0.31249999999999994</v>
      </c>
      <c r="AB360">
        <f t="shared" si="29"/>
        <v>28.992000000000004</v>
      </c>
    </row>
    <row r="361" spans="1:28"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s="2">
        <v>8</v>
      </c>
      <c r="T361" s="2">
        <v>0</v>
      </c>
      <c r="U361" s="2">
        <v>168.4384</v>
      </c>
      <c r="V361" t="str">
        <f t="shared" si="25"/>
        <v>Valid</v>
      </c>
      <c r="W361" s="2">
        <v>267.07</v>
      </c>
      <c r="X361" s="2">
        <v>656.2656164</v>
      </c>
      <c r="Y361" s="2" t="str">
        <f t="shared" si="26"/>
        <v>Normal</v>
      </c>
      <c r="Z361">
        <f t="shared" si="27"/>
        <v>3</v>
      </c>
      <c r="AA361">
        <f t="shared" si="28"/>
        <v>0.26</v>
      </c>
      <c r="AB361">
        <f t="shared" si="29"/>
        <v>647.84</v>
      </c>
    </row>
    <row r="362" spans="1:28"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s="2">
        <v>2</v>
      </c>
      <c r="T362" s="2">
        <v>0</v>
      </c>
      <c r="U362" s="2">
        <v>9.9359999999999999</v>
      </c>
      <c r="V362" t="str">
        <f t="shared" si="25"/>
        <v>Valid</v>
      </c>
      <c r="W362" s="2">
        <v>267.07</v>
      </c>
      <c r="X362" s="2">
        <v>656.2656164</v>
      </c>
      <c r="Y362" s="2" t="str">
        <f t="shared" si="26"/>
        <v>Normal</v>
      </c>
      <c r="Z362">
        <f t="shared" si="27"/>
        <v>3</v>
      </c>
      <c r="AA362">
        <f t="shared" si="28"/>
        <v>0.48000000000000004</v>
      </c>
      <c r="AB362">
        <f t="shared" si="29"/>
        <v>20.7</v>
      </c>
    </row>
    <row r="363" spans="1:28"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s="2">
        <v>2</v>
      </c>
      <c r="T363" s="2">
        <v>0</v>
      </c>
      <c r="U363" s="2">
        <v>9.9359999999999999</v>
      </c>
      <c r="V363" t="str">
        <f t="shared" si="25"/>
        <v>Valid</v>
      </c>
      <c r="W363" s="2">
        <v>267.07</v>
      </c>
      <c r="X363" s="2">
        <v>656.2656164</v>
      </c>
      <c r="Y363" s="2" t="str">
        <f t="shared" si="26"/>
        <v>Normal</v>
      </c>
      <c r="Z363">
        <f t="shared" si="27"/>
        <v>6</v>
      </c>
      <c r="AA363">
        <f t="shared" si="28"/>
        <v>0.48000000000000004</v>
      </c>
      <c r="AB363">
        <f t="shared" si="29"/>
        <v>20.7</v>
      </c>
    </row>
    <row r="364" spans="1:28"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s="2">
        <v>3</v>
      </c>
      <c r="T364" s="2">
        <v>0.1</v>
      </c>
      <c r="U364" s="2">
        <v>86.870400000000004</v>
      </c>
      <c r="V364" t="str">
        <f t="shared" si="25"/>
        <v>Valid</v>
      </c>
      <c r="W364" s="2">
        <v>267.07</v>
      </c>
      <c r="X364" s="2">
        <v>656.2656164</v>
      </c>
      <c r="Y364" s="2" t="str">
        <f t="shared" si="26"/>
        <v>Normal</v>
      </c>
      <c r="Z364">
        <f t="shared" si="27"/>
        <v>6</v>
      </c>
      <c r="AA364">
        <f t="shared" si="28"/>
        <v>0.17777777777777778</v>
      </c>
      <c r="AB364">
        <f t="shared" si="29"/>
        <v>439.78140000000002</v>
      </c>
    </row>
    <row r="365" spans="1:28"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s="2">
        <v>2</v>
      </c>
      <c r="T365" s="2">
        <v>0</v>
      </c>
      <c r="U365" s="2">
        <v>1.4456</v>
      </c>
      <c r="V365" t="str">
        <f t="shared" si="25"/>
        <v>Valid</v>
      </c>
      <c r="W365" s="2">
        <v>267.07</v>
      </c>
      <c r="X365" s="2">
        <v>656.2656164</v>
      </c>
      <c r="Y365" s="2" t="str">
        <f t="shared" si="26"/>
        <v>Normal</v>
      </c>
      <c r="Z365">
        <f t="shared" si="27"/>
        <v>6</v>
      </c>
      <c r="AA365">
        <f t="shared" si="28"/>
        <v>0.26</v>
      </c>
      <c r="AB365">
        <f t="shared" si="29"/>
        <v>5.56</v>
      </c>
    </row>
    <row r="366" spans="1:28"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s="2">
        <v>8</v>
      </c>
      <c r="T366" s="2">
        <v>0</v>
      </c>
      <c r="U366" s="2">
        <v>20.732800000000001</v>
      </c>
      <c r="V366" t="str">
        <f t="shared" si="25"/>
        <v>Valid</v>
      </c>
      <c r="W366" s="2">
        <v>267.07</v>
      </c>
      <c r="X366" s="2">
        <v>656.2656164</v>
      </c>
      <c r="Y366" s="2" t="str">
        <f t="shared" si="26"/>
        <v>Normal</v>
      </c>
      <c r="Z366">
        <f t="shared" si="27"/>
        <v>6</v>
      </c>
      <c r="AA366">
        <f t="shared" si="28"/>
        <v>0.44000000000000006</v>
      </c>
      <c r="AB366">
        <f t="shared" si="29"/>
        <v>47.12</v>
      </c>
    </row>
    <row r="367" spans="1:28"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s="2">
        <v>4</v>
      </c>
      <c r="T367" s="2">
        <v>0</v>
      </c>
      <c r="U367" s="2">
        <v>8.4784000000000006</v>
      </c>
      <c r="V367" t="str">
        <f t="shared" si="25"/>
        <v>Valid</v>
      </c>
      <c r="W367" s="2">
        <v>267.07</v>
      </c>
      <c r="X367" s="2">
        <v>656.2656164</v>
      </c>
      <c r="Y367" s="2" t="str">
        <f t="shared" si="26"/>
        <v>Normal</v>
      </c>
      <c r="Z367">
        <f t="shared" si="27"/>
        <v>5</v>
      </c>
      <c r="AA367">
        <f t="shared" si="28"/>
        <v>0.04</v>
      </c>
      <c r="AB367">
        <f t="shared" si="29"/>
        <v>211.96</v>
      </c>
    </row>
    <row r="368" spans="1:28"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s="2">
        <v>4</v>
      </c>
      <c r="T368" s="2">
        <v>0</v>
      </c>
      <c r="U368" s="2">
        <v>10.44</v>
      </c>
      <c r="V368" t="str">
        <f t="shared" si="25"/>
        <v>Valid</v>
      </c>
      <c r="W368" s="2">
        <v>267.07</v>
      </c>
      <c r="X368" s="2">
        <v>656.2656164</v>
      </c>
      <c r="Y368" s="2" t="str">
        <f t="shared" si="26"/>
        <v>Normal</v>
      </c>
      <c r="Z368">
        <f t="shared" si="27"/>
        <v>0</v>
      </c>
      <c r="AA368">
        <f t="shared" si="28"/>
        <v>0.45</v>
      </c>
      <c r="AB368">
        <f t="shared" si="29"/>
        <v>23.2</v>
      </c>
    </row>
    <row r="369" spans="1:28"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s="2">
        <v>2</v>
      </c>
      <c r="T369" s="2">
        <v>0</v>
      </c>
      <c r="U369" s="2">
        <v>0.1472</v>
      </c>
      <c r="V369" t="str">
        <f t="shared" si="25"/>
        <v>Valid</v>
      </c>
      <c r="W369" s="2">
        <v>267.07</v>
      </c>
      <c r="X369" s="2">
        <v>656.2656164</v>
      </c>
      <c r="Y369" s="2" t="str">
        <f t="shared" si="26"/>
        <v>Normal</v>
      </c>
      <c r="Z369">
        <f t="shared" si="27"/>
        <v>0</v>
      </c>
      <c r="AA369">
        <f t="shared" si="28"/>
        <v>0.02</v>
      </c>
      <c r="AB369">
        <f t="shared" si="29"/>
        <v>7.36</v>
      </c>
    </row>
    <row r="370" spans="1:28"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s="2">
        <v>7</v>
      </c>
      <c r="T370" s="2">
        <v>0</v>
      </c>
      <c r="U370" s="2">
        <v>29.341200000000001</v>
      </c>
      <c r="V370" t="str">
        <f t="shared" si="25"/>
        <v>Valid</v>
      </c>
      <c r="W370" s="2">
        <v>267.07</v>
      </c>
      <c r="X370" s="2">
        <v>656.2656164</v>
      </c>
      <c r="Y370" s="2" t="str">
        <f t="shared" si="26"/>
        <v>Normal</v>
      </c>
      <c r="Z370">
        <f t="shared" si="27"/>
        <v>0</v>
      </c>
      <c r="AA370">
        <f t="shared" si="28"/>
        <v>0.27999999999999997</v>
      </c>
      <c r="AB370">
        <f t="shared" si="29"/>
        <v>104.79</v>
      </c>
    </row>
    <row r="371" spans="1:28"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s="2">
        <v>4</v>
      </c>
      <c r="T371" s="2">
        <v>0</v>
      </c>
      <c r="U371" s="2">
        <v>271.41919999999999</v>
      </c>
      <c r="V371" t="str">
        <f t="shared" si="25"/>
        <v>Valid</v>
      </c>
      <c r="W371" s="2">
        <v>267.07</v>
      </c>
      <c r="X371" s="2">
        <v>656.2656164</v>
      </c>
      <c r="Y371" s="2" t="str">
        <f t="shared" si="26"/>
        <v>Normal</v>
      </c>
      <c r="Z371">
        <f t="shared" si="27"/>
        <v>0</v>
      </c>
      <c r="AA371">
        <f t="shared" si="28"/>
        <v>0.25999999999999995</v>
      </c>
      <c r="AB371">
        <f t="shared" si="29"/>
        <v>1043.92</v>
      </c>
    </row>
    <row r="372" spans="1:28"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s="2">
        <v>5</v>
      </c>
      <c r="T372" s="2">
        <v>0.2</v>
      </c>
      <c r="U372" s="2">
        <v>9.3960000000000008</v>
      </c>
      <c r="V372" t="str">
        <f t="shared" si="25"/>
        <v>Valid</v>
      </c>
      <c r="W372" s="2">
        <v>267.07</v>
      </c>
      <c r="X372" s="2">
        <v>656.2656164</v>
      </c>
      <c r="Y372" s="2" t="str">
        <f t="shared" si="26"/>
        <v>Normal</v>
      </c>
      <c r="Z372">
        <f t="shared" si="27"/>
        <v>6</v>
      </c>
      <c r="AA372">
        <f t="shared" si="28"/>
        <v>0.36249999999999999</v>
      </c>
      <c r="AB372">
        <f t="shared" si="29"/>
        <v>20.736000000000004</v>
      </c>
    </row>
    <row r="373" spans="1:28"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s="2">
        <v>3</v>
      </c>
      <c r="T373" s="2">
        <v>0.2</v>
      </c>
      <c r="U373" s="2">
        <v>4.6745999999999999</v>
      </c>
      <c r="V373" t="str">
        <f t="shared" si="25"/>
        <v>Valid</v>
      </c>
      <c r="W373" s="2">
        <v>267.07</v>
      </c>
      <c r="X373" s="2">
        <v>656.2656164</v>
      </c>
      <c r="Y373" s="2" t="str">
        <f t="shared" si="26"/>
        <v>Normal</v>
      </c>
      <c r="Z373">
        <f t="shared" si="27"/>
        <v>6</v>
      </c>
      <c r="AA373">
        <f t="shared" si="28"/>
        <v>8.7499999999999994E-2</v>
      </c>
      <c r="AB373">
        <f t="shared" si="29"/>
        <v>42.739200000000004</v>
      </c>
    </row>
    <row r="374" spans="1:28"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s="2">
        <v>5</v>
      </c>
      <c r="T374" s="2">
        <v>0.7</v>
      </c>
      <c r="U374" s="2">
        <v>-5.7119999999999997</v>
      </c>
      <c r="V374" t="str">
        <f t="shared" si="25"/>
        <v>Valid</v>
      </c>
      <c r="W374" s="2">
        <v>267.07</v>
      </c>
      <c r="X374" s="2">
        <v>656.2656164</v>
      </c>
      <c r="Y374" s="2" t="str">
        <f t="shared" si="26"/>
        <v>Normal</v>
      </c>
      <c r="Z374">
        <f t="shared" si="27"/>
        <v>4</v>
      </c>
      <c r="AA374">
        <f t="shared" si="28"/>
        <v>-0.7</v>
      </c>
      <c r="AB374">
        <f t="shared" si="29"/>
        <v>2.4480000000000004</v>
      </c>
    </row>
    <row r="375" spans="1:28"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s="2">
        <v>8</v>
      </c>
      <c r="T375" s="2">
        <v>0.2</v>
      </c>
      <c r="U375" s="2">
        <v>179.18879999999999</v>
      </c>
      <c r="V375" t="str">
        <f t="shared" si="25"/>
        <v>Valid</v>
      </c>
      <c r="W375" s="2">
        <v>267.07</v>
      </c>
      <c r="X375" s="2">
        <v>656.2656164</v>
      </c>
      <c r="Y375" s="2" t="str">
        <f t="shared" si="26"/>
        <v>Normal</v>
      </c>
      <c r="Z375">
        <f t="shared" si="27"/>
        <v>4</v>
      </c>
      <c r="AA375">
        <f t="shared" si="28"/>
        <v>0.17499999999999999</v>
      </c>
      <c r="AB375">
        <f t="shared" si="29"/>
        <v>819.14880000000005</v>
      </c>
    </row>
    <row r="376" spans="1:28"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s="2">
        <v>1</v>
      </c>
      <c r="T376" s="2">
        <v>0.2</v>
      </c>
      <c r="U376" s="2">
        <v>0.92400000000000004</v>
      </c>
      <c r="V376" t="str">
        <f t="shared" si="25"/>
        <v>Valid</v>
      </c>
      <c r="W376" s="2">
        <v>267.07</v>
      </c>
      <c r="X376" s="2">
        <v>656.2656164</v>
      </c>
      <c r="Y376" s="2" t="str">
        <f t="shared" si="26"/>
        <v>Normal</v>
      </c>
      <c r="Z376">
        <f t="shared" si="27"/>
        <v>4</v>
      </c>
      <c r="AA376">
        <f t="shared" si="28"/>
        <v>0.1</v>
      </c>
      <c r="AB376">
        <f t="shared" si="29"/>
        <v>7.3920000000000003</v>
      </c>
    </row>
    <row r="377" spans="1:28"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s="2">
        <v>10</v>
      </c>
      <c r="T377" s="2">
        <v>0.2</v>
      </c>
      <c r="U377" s="2">
        <v>-29.94</v>
      </c>
      <c r="V377" t="str">
        <f t="shared" si="25"/>
        <v>Valid</v>
      </c>
      <c r="W377" s="2">
        <v>267.07</v>
      </c>
      <c r="X377" s="2">
        <v>656.2656164</v>
      </c>
      <c r="Y377" s="2" t="str">
        <f t="shared" si="26"/>
        <v>Normal</v>
      </c>
      <c r="Z377">
        <f t="shared" si="27"/>
        <v>4</v>
      </c>
      <c r="AA377">
        <f t="shared" si="28"/>
        <v>-6.25E-2</v>
      </c>
      <c r="AB377">
        <f t="shared" si="29"/>
        <v>383.23200000000003</v>
      </c>
    </row>
    <row r="378" spans="1:28"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s="2">
        <v>4</v>
      </c>
      <c r="T378" s="2">
        <v>0.2</v>
      </c>
      <c r="U378" s="2">
        <v>30.98</v>
      </c>
      <c r="V378" t="str">
        <f t="shared" si="25"/>
        <v>Valid</v>
      </c>
      <c r="W378" s="2">
        <v>267.07</v>
      </c>
      <c r="X378" s="2">
        <v>656.2656164</v>
      </c>
      <c r="Y378" s="2" t="str">
        <f t="shared" si="26"/>
        <v>Normal</v>
      </c>
      <c r="Z378">
        <f t="shared" si="27"/>
        <v>3</v>
      </c>
      <c r="AA378">
        <f t="shared" si="28"/>
        <v>0.3125</v>
      </c>
      <c r="AB378">
        <f t="shared" si="29"/>
        <v>79.308800000000005</v>
      </c>
    </row>
    <row r="379" spans="1:28"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s="2">
        <v>7</v>
      </c>
      <c r="T379" s="2">
        <v>0.3</v>
      </c>
      <c r="U379" s="2">
        <v>-297.6848</v>
      </c>
      <c r="V379" t="str">
        <f t="shared" si="25"/>
        <v>Valid</v>
      </c>
      <c r="W379" s="2">
        <v>267.07</v>
      </c>
      <c r="X379" s="2">
        <v>656.2656164</v>
      </c>
      <c r="Y379" s="2" t="str">
        <f t="shared" si="26"/>
        <v>Normal</v>
      </c>
      <c r="Z379">
        <f t="shared" si="27"/>
        <v>5</v>
      </c>
      <c r="AA379">
        <f t="shared" si="28"/>
        <v>-0.2</v>
      </c>
      <c r="AB379">
        <f t="shared" si="29"/>
        <v>1041.8968</v>
      </c>
    </row>
    <row r="380" spans="1:28"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s="2">
        <v>3</v>
      </c>
      <c r="T380" s="2">
        <v>0.8</v>
      </c>
      <c r="U380" s="2">
        <v>-20.3322</v>
      </c>
      <c r="V380" t="str">
        <f t="shared" si="25"/>
        <v>Valid</v>
      </c>
      <c r="W380" s="2">
        <v>267.07</v>
      </c>
      <c r="X380" s="2">
        <v>656.2656164</v>
      </c>
      <c r="Y380" s="2" t="str">
        <f t="shared" si="26"/>
        <v>Normal</v>
      </c>
      <c r="Z380">
        <f t="shared" si="27"/>
        <v>7</v>
      </c>
      <c r="AA380">
        <f t="shared" si="28"/>
        <v>-2.35</v>
      </c>
      <c r="AB380">
        <f t="shared" si="29"/>
        <v>1.7303999999999995</v>
      </c>
    </row>
    <row r="381" spans="1:28"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s="2">
        <v>3</v>
      </c>
      <c r="T381" s="2">
        <v>0.2</v>
      </c>
      <c r="U381" s="2">
        <v>2.6810999999999998</v>
      </c>
      <c r="V381" t="str">
        <f t="shared" si="25"/>
        <v>Valid</v>
      </c>
      <c r="W381" s="2">
        <v>267.07</v>
      </c>
      <c r="X381" s="2">
        <v>656.2656164</v>
      </c>
      <c r="Y381" s="2" t="str">
        <f t="shared" si="26"/>
        <v>Normal</v>
      </c>
      <c r="Z381">
        <f t="shared" si="27"/>
        <v>7</v>
      </c>
      <c r="AA381">
        <f t="shared" si="28"/>
        <v>0.11249999999999999</v>
      </c>
      <c r="AB381">
        <f t="shared" si="29"/>
        <v>19.0656</v>
      </c>
    </row>
    <row r="382" spans="1:28"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s="2">
        <v>4</v>
      </c>
      <c r="T382" s="2">
        <v>0.8</v>
      </c>
      <c r="U382" s="2">
        <v>-18.872800000000002</v>
      </c>
      <c r="V382" t="str">
        <f t="shared" si="25"/>
        <v>Valid</v>
      </c>
      <c r="W382" s="2">
        <v>267.07</v>
      </c>
      <c r="X382" s="2">
        <v>656.2656164</v>
      </c>
      <c r="Y382" s="2" t="str">
        <f t="shared" si="26"/>
        <v>Normal</v>
      </c>
      <c r="Z382">
        <f t="shared" si="27"/>
        <v>7</v>
      </c>
      <c r="AA382">
        <f t="shared" si="28"/>
        <v>-1.55</v>
      </c>
      <c r="AB382">
        <f t="shared" si="29"/>
        <v>2.4351999999999996</v>
      </c>
    </row>
    <row r="383" spans="1:28"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s="2">
        <v>7</v>
      </c>
      <c r="T383" s="2">
        <v>0</v>
      </c>
      <c r="U383" s="2">
        <v>25.48</v>
      </c>
      <c r="V383" t="str">
        <f t="shared" si="25"/>
        <v>Valid</v>
      </c>
      <c r="W383" s="2">
        <v>267.07</v>
      </c>
      <c r="X383" s="2">
        <v>656.2656164</v>
      </c>
      <c r="Y383" s="2" t="str">
        <f t="shared" si="26"/>
        <v>Normal</v>
      </c>
      <c r="Z383">
        <f t="shared" si="27"/>
        <v>1</v>
      </c>
      <c r="AA383">
        <f t="shared" si="28"/>
        <v>0.5</v>
      </c>
      <c r="AB383">
        <f t="shared" si="29"/>
        <v>50.96</v>
      </c>
    </row>
    <row r="384" spans="1:28"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s="2">
        <v>3</v>
      </c>
      <c r="T384" s="2">
        <v>0.2</v>
      </c>
      <c r="U384" s="2">
        <v>17.337599999999998</v>
      </c>
      <c r="V384" t="str">
        <f t="shared" si="25"/>
        <v>Valid</v>
      </c>
      <c r="W384" s="2">
        <v>267.07</v>
      </c>
      <c r="X384" s="2">
        <v>656.2656164</v>
      </c>
      <c r="Y384" s="2" t="str">
        <f t="shared" si="26"/>
        <v>Normal</v>
      </c>
      <c r="Z384">
        <f t="shared" si="27"/>
        <v>1</v>
      </c>
      <c r="AA384">
        <f t="shared" si="28"/>
        <v>0.35</v>
      </c>
      <c r="AB384">
        <f t="shared" si="29"/>
        <v>39.628800000000005</v>
      </c>
    </row>
    <row r="385" spans="1:28"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s="2">
        <v>2</v>
      </c>
      <c r="T385" s="2">
        <v>0</v>
      </c>
      <c r="U385" s="2">
        <v>8.7989999999999995</v>
      </c>
      <c r="V385" t="str">
        <f t="shared" si="25"/>
        <v>Valid</v>
      </c>
      <c r="W385" s="2">
        <v>267.07</v>
      </c>
      <c r="X385" s="2">
        <v>656.2656164</v>
      </c>
      <c r="Y385" s="2" t="str">
        <f t="shared" si="26"/>
        <v>Normal</v>
      </c>
      <c r="Z385">
        <f t="shared" si="27"/>
        <v>3</v>
      </c>
      <c r="AA385">
        <f t="shared" si="28"/>
        <v>0.21</v>
      </c>
      <c r="AB385">
        <f t="shared" si="29"/>
        <v>41.9</v>
      </c>
    </row>
    <row r="386" spans="1:28"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s="2">
        <v>3</v>
      </c>
      <c r="T386" s="2">
        <v>0.45</v>
      </c>
      <c r="U386" s="2">
        <v>-157.0095</v>
      </c>
      <c r="V386" t="str">
        <f t="shared" si="25"/>
        <v>Valid</v>
      </c>
      <c r="W386" s="2">
        <v>267.07</v>
      </c>
      <c r="X386" s="2">
        <v>656.2656164</v>
      </c>
      <c r="Y386" s="2" t="str">
        <f t="shared" si="26"/>
        <v>Normal</v>
      </c>
      <c r="Z386">
        <f t="shared" si="27"/>
        <v>5</v>
      </c>
      <c r="AA386">
        <f t="shared" si="28"/>
        <v>-0.41818181818181821</v>
      </c>
      <c r="AB386">
        <f t="shared" si="29"/>
        <v>206.50162500000002</v>
      </c>
    </row>
    <row r="387" spans="1:28"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s="2">
        <v>3</v>
      </c>
      <c r="T387" s="2">
        <v>0.2</v>
      </c>
      <c r="U387" s="2">
        <v>-1.0497000000000001</v>
      </c>
      <c r="V387" t="str">
        <f t="shared" ref="V387:V450" si="30">IF(D387&gt;=C387, "Valid", "Error")</f>
        <v>Valid</v>
      </c>
      <c r="W387" s="2">
        <v>267.07</v>
      </c>
      <c r="X387" s="2">
        <v>656.2656164</v>
      </c>
      <c r="Y387" s="2" t="str">
        <f t="shared" ref="Y387:Y450" si="31">IF(R387 &gt;(W387 + 3*X387), "High Outlier",  "Normal")</f>
        <v>Normal</v>
      </c>
      <c r="Z387">
        <f t="shared" ref="Z387:Z450" si="32">_xlfn.DAYS(D387,C387)</f>
        <v>5</v>
      </c>
      <c r="AA387">
        <f t="shared" ref="AA387:AA450" si="33">U387/R387</f>
        <v>-1.2500000000000001E-2</v>
      </c>
      <c r="AB387">
        <f t="shared" ref="AB387:AB450" si="34">R387*(1-T387)</f>
        <v>67.180800000000005</v>
      </c>
    </row>
    <row r="388" spans="1:28"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s="2">
        <v>4</v>
      </c>
      <c r="T388" s="2">
        <v>0.7</v>
      </c>
      <c r="U388" s="2">
        <v>-337.63799999999998</v>
      </c>
      <c r="V388" t="str">
        <f t="shared" si="30"/>
        <v>Valid</v>
      </c>
      <c r="W388" s="2">
        <v>267.07</v>
      </c>
      <c r="X388" s="2">
        <v>656.2656164</v>
      </c>
      <c r="Y388" s="2" t="str">
        <f t="shared" si="31"/>
        <v>Normal</v>
      </c>
      <c r="Z388">
        <f t="shared" si="32"/>
        <v>4</v>
      </c>
      <c r="AA388">
        <f t="shared" si="33"/>
        <v>-0.7</v>
      </c>
      <c r="AB388">
        <f t="shared" si="34"/>
        <v>144.70200000000003</v>
      </c>
    </row>
    <row r="389" spans="1:28"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s="2">
        <v>1</v>
      </c>
      <c r="T389" s="2">
        <v>0.2</v>
      </c>
      <c r="U389" s="2">
        <v>0.77700000000000002</v>
      </c>
      <c r="V389" t="str">
        <f t="shared" si="30"/>
        <v>Valid</v>
      </c>
      <c r="W389" s="2">
        <v>267.07</v>
      </c>
      <c r="X389" s="2">
        <v>656.2656164</v>
      </c>
      <c r="Y389" s="2" t="str">
        <f t="shared" si="31"/>
        <v>Normal</v>
      </c>
      <c r="Z389">
        <f t="shared" si="32"/>
        <v>4</v>
      </c>
      <c r="AA389">
        <f t="shared" si="33"/>
        <v>0.26250000000000001</v>
      </c>
      <c r="AB389">
        <f t="shared" si="34"/>
        <v>2.3679999999999999</v>
      </c>
    </row>
    <row r="390" spans="1:28"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s="2">
        <v>1</v>
      </c>
      <c r="T390" s="2">
        <v>0.2</v>
      </c>
      <c r="U390" s="2">
        <v>0.4264</v>
      </c>
      <c r="V390" t="str">
        <f t="shared" si="30"/>
        <v>Valid</v>
      </c>
      <c r="W390" s="2">
        <v>267.07</v>
      </c>
      <c r="X390" s="2">
        <v>656.2656164</v>
      </c>
      <c r="Y390" s="2" t="str">
        <f t="shared" si="31"/>
        <v>Normal</v>
      </c>
      <c r="Z390">
        <f t="shared" si="32"/>
        <v>2</v>
      </c>
      <c r="AA390">
        <f t="shared" si="33"/>
        <v>0.16250000000000001</v>
      </c>
      <c r="AB390">
        <f t="shared" si="34"/>
        <v>2.0992000000000002</v>
      </c>
    </row>
    <row r="391" spans="1:28"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s="2">
        <v>4</v>
      </c>
      <c r="T391" s="2">
        <v>0.2</v>
      </c>
      <c r="U391" s="2">
        <v>7.8840000000000003</v>
      </c>
      <c r="V391" t="str">
        <f t="shared" si="30"/>
        <v>Valid</v>
      </c>
      <c r="W391" s="2">
        <v>267.07</v>
      </c>
      <c r="X391" s="2">
        <v>656.2656164</v>
      </c>
      <c r="Y391" s="2" t="str">
        <f t="shared" si="31"/>
        <v>Normal</v>
      </c>
      <c r="Z391">
        <f t="shared" si="32"/>
        <v>4</v>
      </c>
      <c r="AA391">
        <f t="shared" si="33"/>
        <v>0.33750000000000002</v>
      </c>
      <c r="AB391">
        <f t="shared" si="34"/>
        <v>18.687999999999999</v>
      </c>
    </row>
    <row r="392" spans="1:28"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s="2">
        <v>2</v>
      </c>
      <c r="T392" s="2">
        <v>0</v>
      </c>
      <c r="U392" s="2">
        <v>13.5932</v>
      </c>
      <c r="V392" t="str">
        <f t="shared" si="30"/>
        <v>Valid</v>
      </c>
      <c r="W392" s="2">
        <v>267.07</v>
      </c>
      <c r="X392" s="2">
        <v>656.2656164</v>
      </c>
      <c r="Y392" s="2" t="str">
        <f t="shared" si="31"/>
        <v>Normal</v>
      </c>
      <c r="Z392">
        <f t="shared" si="32"/>
        <v>4</v>
      </c>
      <c r="AA392">
        <f t="shared" si="33"/>
        <v>0.34</v>
      </c>
      <c r="AB392">
        <f t="shared" si="34"/>
        <v>39.979999999999997</v>
      </c>
    </row>
    <row r="393" spans="1:28"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s="2">
        <v>2</v>
      </c>
      <c r="T393" s="2">
        <v>0.2</v>
      </c>
      <c r="U393" s="2">
        <v>27.7182</v>
      </c>
      <c r="V393" t="str">
        <f t="shared" si="30"/>
        <v>Valid</v>
      </c>
      <c r="W393" s="2">
        <v>267.07</v>
      </c>
      <c r="X393" s="2">
        <v>656.2656164</v>
      </c>
      <c r="Y393" s="2" t="str">
        <f t="shared" si="31"/>
        <v>Normal</v>
      </c>
      <c r="Z393">
        <f t="shared" si="32"/>
        <v>2</v>
      </c>
      <c r="AA393">
        <f t="shared" si="33"/>
        <v>0.1125</v>
      </c>
      <c r="AB393">
        <f t="shared" si="34"/>
        <v>197.10720000000001</v>
      </c>
    </row>
    <row r="394" spans="1:28"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s="2">
        <v>3</v>
      </c>
      <c r="T394" s="2">
        <v>0</v>
      </c>
      <c r="U394" s="2">
        <v>701.98829999999998</v>
      </c>
      <c r="V394" t="str">
        <f t="shared" si="30"/>
        <v>Valid</v>
      </c>
      <c r="W394" s="2">
        <v>267.07</v>
      </c>
      <c r="X394" s="2">
        <v>656.2656164</v>
      </c>
      <c r="Y394" s="2" t="str">
        <f t="shared" si="31"/>
        <v>Normal</v>
      </c>
      <c r="Z394">
        <f t="shared" si="32"/>
        <v>2</v>
      </c>
      <c r="AA394">
        <f t="shared" si="33"/>
        <v>0.38999999999999996</v>
      </c>
      <c r="AB394">
        <f t="shared" si="34"/>
        <v>1799.97</v>
      </c>
    </row>
    <row r="395" spans="1:28"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s="2">
        <v>3</v>
      </c>
      <c r="T395" s="2">
        <v>0.8</v>
      </c>
      <c r="U395" s="2">
        <v>-20.5623</v>
      </c>
      <c r="V395" t="str">
        <f t="shared" si="30"/>
        <v>Valid</v>
      </c>
      <c r="W395" s="2">
        <v>267.07</v>
      </c>
      <c r="X395" s="2">
        <v>656.2656164</v>
      </c>
      <c r="Y395" s="2" t="str">
        <f t="shared" si="31"/>
        <v>Normal</v>
      </c>
      <c r="Z395">
        <f t="shared" si="32"/>
        <v>3</v>
      </c>
      <c r="AA395">
        <f t="shared" si="33"/>
        <v>-1.6500000000000001</v>
      </c>
      <c r="AB395">
        <f t="shared" si="34"/>
        <v>2.4923999999999995</v>
      </c>
    </row>
    <row r="396" spans="1:28"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s="2">
        <v>3</v>
      </c>
      <c r="T396" s="2">
        <v>0.2</v>
      </c>
      <c r="U396" s="2">
        <v>25.579799999999999</v>
      </c>
      <c r="V396" t="str">
        <f t="shared" si="30"/>
        <v>Valid</v>
      </c>
      <c r="W396" s="2">
        <v>267.07</v>
      </c>
      <c r="X396" s="2">
        <v>656.2656164</v>
      </c>
      <c r="Y396" s="2" t="str">
        <f t="shared" si="31"/>
        <v>Normal</v>
      </c>
      <c r="Z396">
        <f t="shared" si="32"/>
        <v>5</v>
      </c>
      <c r="AA396">
        <f t="shared" si="33"/>
        <v>0.33749999999999997</v>
      </c>
      <c r="AB396">
        <f t="shared" si="34"/>
        <v>60.633600000000001</v>
      </c>
    </row>
    <row r="397" spans="1:28"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s="2">
        <v>2</v>
      </c>
      <c r="T397" s="2">
        <v>0</v>
      </c>
      <c r="U397" s="2">
        <v>9.4923999999999999</v>
      </c>
      <c r="V397" t="str">
        <f t="shared" si="30"/>
        <v>Valid</v>
      </c>
      <c r="W397" s="2">
        <v>267.07</v>
      </c>
      <c r="X397" s="2">
        <v>656.2656164</v>
      </c>
      <c r="Y397" s="2" t="str">
        <f t="shared" si="31"/>
        <v>Normal</v>
      </c>
      <c r="Z397">
        <f t="shared" si="32"/>
        <v>2</v>
      </c>
      <c r="AA397">
        <f t="shared" si="33"/>
        <v>0.19</v>
      </c>
      <c r="AB397">
        <f t="shared" si="34"/>
        <v>49.96</v>
      </c>
    </row>
    <row r="398" spans="1:28"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s="2">
        <v>2</v>
      </c>
      <c r="T398" s="2">
        <v>0</v>
      </c>
      <c r="U398" s="2">
        <v>6.2207999999999997</v>
      </c>
      <c r="V398" t="str">
        <f t="shared" si="30"/>
        <v>Valid</v>
      </c>
      <c r="W398" s="2">
        <v>267.07</v>
      </c>
      <c r="X398" s="2">
        <v>656.2656164</v>
      </c>
      <c r="Y398" s="2" t="str">
        <f t="shared" si="31"/>
        <v>Normal</v>
      </c>
      <c r="Z398">
        <f t="shared" si="32"/>
        <v>2</v>
      </c>
      <c r="AA398">
        <f t="shared" si="33"/>
        <v>0.47999999999999993</v>
      </c>
      <c r="AB398">
        <f t="shared" si="34"/>
        <v>12.96</v>
      </c>
    </row>
    <row r="399" spans="1:28"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s="2">
        <v>4</v>
      </c>
      <c r="T399" s="2">
        <v>0</v>
      </c>
      <c r="U399" s="2">
        <v>21.036000000000001</v>
      </c>
      <c r="V399" t="str">
        <f t="shared" si="30"/>
        <v>Valid</v>
      </c>
      <c r="W399" s="2">
        <v>267.07</v>
      </c>
      <c r="X399" s="2">
        <v>656.2656164</v>
      </c>
      <c r="Y399" s="2" t="str">
        <f t="shared" si="31"/>
        <v>Normal</v>
      </c>
      <c r="Z399">
        <f t="shared" si="32"/>
        <v>4</v>
      </c>
      <c r="AA399">
        <f t="shared" si="33"/>
        <v>0.3</v>
      </c>
      <c r="AB399">
        <f t="shared" si="34"/>
        <v>70.12</v>
      </c>
    </row>
    <row r="400" spans="1:28"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s="2">
        <v>3</v>
      </c>
      <c r="T400" s="2">
        <v>0.2</v>
      </c>
      <c r="U400" s="2">
        <v>3.5952000000000002</v>
      </c>
      <c r="V400" t="str">
        <f t="shared" si="30"/>
        <v>Valid</v>
      </c>
      <c r="W400" s="2">
        <v>267.07</v>
      </c>
      <c r="X400" s="2">
        <v>656.2656164</v>
      </c>
      <c r="Y400" s="2" t="str">
        <f t="shared" si="31"/>
        <v>Normal</v>
      </c>
      <c r="Z400">
        <f t="shared" si="32"/>
        <v>2</v>
      </c>
      <c r="AA400">
        <f t="shared" si="33"/>
        <v>0.1</v>
      </c>
      <c r="AB400">
        <f t="shared" si="34"/>
        <v>28.761600000000001</v>
      </c>
    </row>
    <row r="401" spans="1:28"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s="2">
        <v>4</v>
      </c>
      <c r="T401" s="2">
        <v>0.32</v>
      </c>
      <c r="U401" s="2">
        <v>-317.15280000000001</v>
      </c>
      <c r="V401" t="str">
        <f t="shared" si="30"/>
        <v>Valid</v>
      </c>
      <c r="W401" s="2">
        <v>267.07</v>
      </c>
      <c r="X401" s="2">
        <v>656.2656164</v>
      </c>
      <c r="Y401" s="2" t="str">
        <f t="shared" si="31"/>
        <v>High Outlier</v>
      </c>
      <c r="Z401">
        <f t="shared" si="32"/>
        <v>2</v>
      </c>
      <c r="AA401">
        <f t="shared" si="33"/>
        <v>-0.13235294117647059</v>
      </c>
      <c r="AB401">
        <f t="shared" si="34"/>
        <v>1629.4606079999999</v>
      </c>
    </row>
    <row r="402" spans="1:28"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s="2">
        <v>4</v>
      </c>
      <c r="T402" s="2">
        <v>0.2</v>
      </c>
      <c r="U402" s="2">
        <v>-32.783999999999999</v>
      </c>
      <c r="V402" t="str">
        <f t="shared" si="30"/>
        <v>Valid</v>
      </c>
      <c r="W402" s="2">
        <v>267.07</v>
      </c>
      <c r="X402" s="2">
        <v>656.2656164</v>
      </c>
      <c r="Y402" s="2" t="str">
        <f t="shared" si="31"/>
        <v>Normal</v>
      </c>
      <c r="Z402">
        <f t="shared" si="32"/>
        <v>2</v>
      </c>
      <c r="AA402">
        <f t="shared" si="33"/>
        <v>-0.25</v>
      </c>
      <c r="AB402">
        <f t="shared" si="34"/>
        <v>104.9088</v>
      </c>
    </row>
    <row r="403" spans="1:28"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s="2">
        <v>2</v>
      </c>
      <c r="T403" s="2">
        <v>0.2</v>
      </c>
      <c r="U403" s="2">
        <v>0.7198</v>
      </c>
      <c r="V403" t="str">
        <f t="shared" si="30"/>
        <v>Valid</v>
      </c>
      <c r="W403" s="2">
        <v>267.07</v>
      </c>
      <c r="X403" s="2">
        <v>656.2656164</v>
      </c>
      <c r="Y403" s="2" t="str">
        <f t="shared" si="31"/>
        <v>Normal</v>
      </c>
      <c r="Z403">
        <f t="shared" si="32"/>
        <v>2</v>
      </c>
      <c r="AA403">
        <f t="shared" si="33"/>
        <v>1.2499999999999999E-2</v>
      </c>
      <c r="AB403">
        <f t="shared" si="34"/>
        <v>46.067200000000007</v>
      </c>
    </row>
    <row r="404" spans="1:28"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s="2">
        <v>2</v>
      </c>
      <c r="T404" s="2">
        <v>0.2</v>
      </c>
      <c r="U404" s="2">
        <v>3.4683999999999999</v>
      </c>
      <c r="V404" t="str">
        <f t="shared" si="30"/>
        <v>Valid</v>
      </c>
      <c r="W404" s="2">
        <v>267.07</v>
      </c>
      <c r="X404" s="2">
        <v>656.2656164</v>
      </c>
      <c r="Y404" s="2" t="str">
        <f t="shared" si="31"/>
        <v>Normal</v>
      </c>
      <c r="Z404">
        <f t="shared" si="32"/>
        <v>2</v>
      </c>
      <c r="AA404">
        <f t="shared" si="33"/>
        <v>0.36249999999999999</v>
      </c>
      <c r="AB404">
        <f t="shared" si="34"/>
        <v>7.6543999999999999</v>
      </c>
    </row>
    <row r="405" spans="1:28"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s="2">
        <v>6</v>
      </c>
      <c r="T405" s="2">
        <v>0.2</v>
      </c>
      <c r="U405" s="2">
        <v>9.7680000000000007</v>
      </c>
      <c r="V405" t="str">
        <f t="shared" si="30"/>
        <v>Valid</v>
      </c>
      <c r="W405" s="2">
        <v>267.07</v>
      </c>
      <c r="X405" s="2">
        <v>656.2656164</v>
      </c>
      <c r="Y405" s="2" t="str">
        <f t="shared" si="31"/>
        <v>Normal</v>
      </c>
      <c r="Z405">
        <f t="shared" si="32"/>
        <v>4</v>
      </c>
      <c r="AA405">
        <f t="shared" si="33"/>
        <v>0.25</v>
      </c>
      <c r="AB405">
        <f t="shared" si="34"/>
        <v>31.257600000000004</v>
      </c>
    </row>
    <row r="406" spans="1:28"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s="2">
        <v>3</v>
      </c>
      <c r="T406" s="2">
        <v>0</v>
      </c>
      <c r="U406" s="2">
        <v>9.6957000000000004</v>
      </c>
      <c r="V406" t="str">
        <f t="shared" si="30"/>
        <v>Valid</v>
      </c>
      <c r="W406" s="2">
        <v>267.07</v>
      </c>
      <c r="X406" s="2">
        <v>656.2656164</v>
      </c>
      <c r="Y406" s="2" t="str">
        <f t="shared" si="31"/>
        <v>Normal</v>
      </c>
      <c r="Z406">
        <f t="shared" si="32"/>
        <v>5</v>
      </c>
      <c r="AA406">
        <f t="shared" si="33"/>
        <v>0.27</v>
      </c>
      <c r="AB406">
        <f t="shared" si="34"/>
        <v>35.909999999999997</v>
      </c>
    </row>
    <row r="407" spans="1:28"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s="2">
        <v>5</v>
      </c>
      <c r="T407" s="2">
        <v>0</v>
      </c>
      <c r="U407" s="2">
        <v>37.789499999999997</v>
      </c>
      <c r="V407" t="str">
        <f t="shared" si="30"/>
        <v>Valid</v>
      </c>
      <c r="W407" s="2">
        <v>267.07</v>
      </c>
      <c r="X407" s="2">
        <v>656.2656164</v>
      </c>
      <c r="Y407" s="2" t="str">
        <f t="shared" si="31"/>
        <v>Normal</v>
      </c>
      <c r="Z407">
        <f t="shared" si="32"/>
        <v>4</v>
      </c>
      <c r="AA407">
        <f t="shared" si="33"/>
        <v>0.21</v>
      </c>
      <c r="AB407">
        <f t="shared" si="34"/>
        <v>179.95</v>
      </c>
    </row>
    <row r="408" spans="1:28"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s="2">
        <v>3</v>
      </c>
      <c r="T408" s="2">
        <v>0.2</v>
      </c>
      <c r="U408" s="2">
        <v>434.99130000000002</v>
      </c>
      <c r="V408" t="str">
        <f t="shared" si="30"/>
        <v>Valid</v>
      </c>
      <c r="W408" s="2">
        <v>267.07</v>
      </c>
      <c r="X408" s="2">
        <v>656.2656164</v>
      </c>
      <c r="Y408" s="2" t="str">
        <f t="shared" si="31"/>
        <v>Normal</v>
      </c>
      <c r="Z408">
        <f t="shared" si="32"/>
        <v>4</v>
      </c>
      <c r="AA408">
        <f t="shared" si="33"/>
        <v>0.36249999999999999</v>
      </c>
      <c r="AB408">
        <f t="shared" si="34"/>
        <v>959.98080000000016</v>
      </c>
    </row>
    <row r="409" spans="1:28"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s="2">
        <v>5</v>
      </c>
      <c r="T409" s="2">
        <v>0</v>
      </c>
      <c r="U409" s="2">
        <v>13.3035</v>
      </c>
      <c r="V409" t="str">
        <f t="shared" si="30"/>
        <v>Valid</v>
      </c>
      <c r="W409" s="2">
        <v>267.07</v>
      </c>
      <c r="X409" s="2">
        <v>656.2656164</v>
      </c>
      <c r="Y409" s="2" t="str">
        <f t="shared" si="31"/>
        <v>Normal</v>
      </c>
      <c r="Z409">
        <f t="shared" si="32"/>
        <v>4</v>
      </c>
      <c r="AA409">
        <f t="shared" si="33"/>
        <v>0.49</v>
      </c>
      <c r="AB409">
        <f t="shared" si="34"/>
        <v>27.15</v>
      </c>
    </row>
    <row r="410" spans="1:28"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s="2">
        <v>7</v>
      </c>
      <c r="T410" s="2">
        <v>0.2</v>
      </c>
      <c r="U410" s="2">
        <v>-112.95269999999999</v>
      </c>
      <c r="V410" t="str">
        <f t="shared" si="30"/>
        <v>Valid</v>
      </c>
      <c r="W410" s="2">
        <v>267.07</v>
      </c>
      <c r="X410" s="2">
        <v>656.2656164</v>
      </c>
      <c r="Y410" s="2" t="str">
        <f t="shared" si="31"/>
        <v>Normal</v>
      </c>
      <c r="Z410">
        <f t="shared" si="32"/>
        <v>4</v>
      </c>
      <c r="AA410">
        <f t="shared" si="33"/>
        <v>-0.11249999999999999</v>
      </c>
      <c r="AB410">
        <f t="shared" si="34"/>
        <v>803.2192</v>
      </c>
    </row>
    <row r="411" spans="1:28"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s="2">
        <v>1</v>
      </c>
      <c r="T411" s="2">
        <v>0</v>
      </c>
      <c r="U411" s="2">
        <v>4.6463999999999999</v>
      </c>
      <c r="V411" t="str">
        <f t="shared" si="30"/>
        <v>Valid</v>
      </c>
      <c r="W411" s="2">
        <v>267.07</v>
      </c>
      <c r="X411" s="2">
        <v>656.2656164</v>
      </c>
      <c r="Y411" s="2" t="str">
        <f t="shared" si="31"/>
        <v>Normal</v>
      </c>
      <c r="Z411">
        <f t="shared" si="32"/>
        <v>4</v>
      </c>
      <c r="AA411">
        <f t="shared" si="33"/>
        <v>0.48</v>
      </c>
      <c r="AB411">
        <f t="shared" si="34"/>
        <v>9.68</v>
      </c>
    </row>
    <row r="412" spans="1:28"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s="2">
        <v>9</v>
      </c>
      <c r="T412" s="2">
        <v>0</v>
      </c>
      <c r="U412" s="2">
        <v>13.608000000000001</v>
      </c>
      <c r="V412" t="str">
        <f t="shared" si="30"/>
        <v>Valid</v>
      </c>
      <c r="W412" s="2">
        <v>267.07</v>
      </c>
      <c r="X412" s="2">
        <v>656.2656164</v>
      </c>
      <c r="Y412" s="2" t="str">
        <f t="shared" si="31"/>
        <v>Normal</v>
      </c>
      <c r="Z412">
        <f t="shared" si="32"/>
        <v>4</v>
      </c>
      <c r="AA412">
        <f t="shared" si="33"/>
        <v>0.48</v>
      </c>
      <c r="AB412">
        <f t="shared" si="34"/>
        <v>28.35</v>
      </c>
    </row>
    <row r="413" spans="1:28"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s="2">
        <v>1</v>
      </c>
      <c r="T413" s="2">
        <v>0</v>
      </c>
      <c r="U413" s="2">
        <v>27.430199999999999</v>
      </c>
      <c r="V413" t="str">
        <f t="shared" si="30"/>
        <v>Valid</v>
      </c>
      <c r="W413" s="2">
        <v>267.07</v>
      </c>
      <c r="X413" s="2">
        <v>656.2656164</v>
      </c>
      <c r="Y413" s="2" t="str">
        <f t="shared" si="31"/>
        <v>Normal</v>
      </c>
      <c r="Z413">
        <f t="shared" si="32"/>
        <v>4</v>
      </c>
      <c r="AA413">
        <f t="shared" si="33"/>
        <v>0.49</v>
      </c>
      <c r="AB413">
        <f t="shared" si="34"/>
        <v>55.98</v>
      </c>
    </row>
    <row r="414" spans="1:28"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s="2">
        <v>13</v>
      </c>
      <c r="T414" s="2">
        <v>0.15</v>
      </c>
      <c r="U414" s="2">
        <v>31.454799999999999</v>
      </c>
      <c r="V414" t="str">
        <f t="shared" si="30"/>
        <v>Valid</v>
      </c>
      <c r="W414" s="2">
        <v>267.07</v>
      </c>
      <c r="X414" s="2">
        <v>656.2656164</v>
      </c>
      <c r="Y414" s="2" t="str">
        <f t="shared" si="31"/>
        <v>Normal</v>
      </c>
      <c r="Z414">
        <f t="shared" si="32"/>
        <v>4</v>
      </c>
      <c r="AA414">
        <f t="shared" si="33"/>
        <v>2.3529411764705882E-2</v>
      </c>
      <c r="AB414">
        <f t="shared" si="34"/>
        <v>1136.30465</v>
      </c>
    </row>
    <row r="415" spans="1:28"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s="2">
        <v>2</v>
      </c>
      <c r="T415" s="2">
        <v>0.2</v>
      </c>
      <c r="U415" s="2">
        <v>-18.454799999999999</v>
      </c>
      <c r="V415" t="str">
        <f t="shared" si="30"/>
        <v>Valid</v>
      </c>
      <c r="W415" s="2">
        <v>267.07</v>
      </c>
      <c r="X415" s="2">
        <v>656.2656164</v>
      </c>
      <c r="Y415" s="2" t="str">
        <f t="shared" si="31"/>
        <v>Normal</v>
      </c>
      <c r="Z415">
        <f t="shared" si="32"/>
        <v>4</v>
      </c>
      <c r="AA415">
        <f t="shared" si="33"/>
        <v>-0.16250000000000001</v>
      </c>
      <c r="AB415">
        <f t="shared" si="34"/>
        <v>90.854399999999998</v>
      </c>
    </row>
    <row r="416" spans="1:28"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s="2">
        <v>7</v>
      </c>
      <c r="T416" s="2">
        <v>0</v>
      </c>
      <c r="U416" s="2">
        <v>65.734200000000001</v>
      </c>
      <c r="V416" t="str">
        <f t="shared" si="30"/>
        <v>Valid</v>
      </c>
      <c r="W416" s="2">
        <v>267.07</v>
      </c>
      <c r="X416" s="2">
        <v>656.2656164</v>
      </c>
      <c r="Y416" s="2" t="str">
        <f t="shared" si="31"/>
        <v>Normal</v>
      </c>
      <c r="Z416">
        <f t="shared" si="32"/>
        <v>4</v>
      </c>
      <c r="AA416">
        <f t="shared" si="33"/>
        <v>0.47</v>
      </c>
      <c r="AB416">
        <f t="shared" si="34"/>
        <v>139.86000000000001</v>
      </c>
    </row>
    <row r="417" spans="1:28"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s="2">
        <v>4</v>
      </c>
      <c r="T417" s="2">
        <v>0.2</v>
      </c>
      <c r="U417" s="2">
        <v>26.874400000000001</v>
      </c>
      <c r="V417" t="str">
        <f t="shared" si="30"/>
        <v>Valid</v>
      </c>
      <c r="W417" s="2">
        <v>267.07</v>
      </c>
      <c r="X417" s="2">
        <v>656.2656164</v>
      </c>
      <c r="Y417" s="2" t="str">
        <f t="shared" si="31"/>
        <v>Normal</v>
      </c>
      <c r="Z417">
        <f t="shared" si="32"/>
        <v>4</v>
      </c>
      <c r="AA417">
        <f t="shared" si="33"/>
        <v>8.7499999999999994E-2</v>
      </c>
      <c r="AB417">
        <f t="shared" si="34"/>
        <v>245.70880000000002</v>
      </c>
    </row>
    <row r="418" spans="1:28"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s="2">
        <v>8</v>
      </c>
      <c r="T418" s="2">
        <v>0</v>
      </c>
      <c r="U418" s="2">
        <v>25.898399999999999</v>
      </c>
      <c r="V418" t="str">
        <f t="shared" si="30"/>
        <v>Valid</v>
      </c>
      <c r="W418" s="2">
        <v>267.07</v>
      </c>
      <c r="X418" s="2">
        <v>656.2656164</v>
      </c>
      <c r="Y418" s="2" t="str">
        <f t="shared" si="31"/>
        <v>Normal</v>
      </c>
      <c r="Z418">
        <f t="shared" si="32"/>
        <v>4</v>
      </c>
      <c r="AA418">
        <f t="shared" si="33"/>
        <v>0.26999999999999996</v>
      </c>
      <c r="AB418">
        <f t="shared" si="34"/>
        <v>95.92</v>
      </c>
    </row>
    <row r="419" spans="1:28"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s="2">
        <v>5</v>
      </c>
      <c r="T419" s="2">
        <v>0.2</v>
      </c>
      <c r="U419" s="2">
        <v>38.380000000000003</v>
      </c>
      <c r="V419" t="str">
        <f t="shared" si="30"/>
        <v>Valid</v>
      </c>
      <c r="W419" s="2">
        <v>267.07</v>
      </c>
      <c r="X419" s="2">
        <v>656.2656164</v>
      </c>
      <c r="Y419" s="2" t="str">
        <f t="shared" si="31"/>
        <v>Normal</v>
      </c>
      <c r="Z419">
        <f t="shared" si="32"/>
        <v>4</v>
      </c>
      <c r="AA419">
        <f t="shared" si="33"/>
        <v>0.1</v>
      </c>
      <c r="AB419">
        <f t="shared" si="34"/>
        <v>307.04000000000002</v>
      </c>
    </row>
    <row r="420" spans="1:28"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s="2">
        <v>1</v>
      </c>
      <c r="T420" s="2">
        <v>0</v>
      </c>
      <c r="U420" s="2">
        <v>2.8321999999999998</v>
      </c>
      <c r="V420" t="str">
        <f t="shared" si="30"/>
        <v>Valid</v>
      </c>
      <c r="W420" s="2">
        <v>267.07</v>
      </c>
      <c r="X420" s="2">
        <v>656.2656164</v>
      </c>
      <c r="Y420" s="2" t="str">
        <f t="shared" si="31"/>
        <v>Normal</v>
      </c>
      <c r="Z420">
        <f t="shared" si="32"/>
        <v>4</v>
      </c>
      <c r="AA420">
        <f t="shared" si="33"/>
        <v>0.48999999999999994</v>
      </c>
      <c r="AB420">
        <f t="shared" si="34"/>
        <v>5.78</v>
      </c>
    </row>
    <row r="421" spans="1:28"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s="2">
        <v>4</v>
      </c>
      <c r="T421" s="2">
        <v>0</v>
      </c>
      <c r="U421" s="2">
        <v>2.7027999999999999</v>
      </c>
      <c r="V421" t="str">
        <f t="shared" si="30"/>
        <v>Valid</v>
      </c>
      <c r="W421" s="2">
        <v>267.07</v>
      </c>
      <c r="X421" s="2">
        <v>656.2656164</v>
      </c>
      <c r="Y421" s="2" t="str">
        <f t="shared" si="31"/>
        <v>Normal</v>
      </c>
      <c r="Z421">
        <f t="shared" si="32"/>
        <v>5</v>
      </c>
      <c r="AA421">
        <f t="shared" si="33"/>
        <v>0.28999999999999998</v>
      </c>
      <c r="AB421">
        <f t="shared" si="34"/>
        <v>9.32</v>
      </c>
    </row>
    <row r="422" spans="1:28"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s="2">
        <v>1</v>
      </c>
      <c r="T422" s="2">
        <v>0</v>
      </c>
      <c r="U422" s="2">
        <v>7.0149999999999997</v>
      </c>
      <c r="V422" t="str">
        <f t="shared" si="30"/>
        <v>Valid</v>
      </c>
      <c r="W422" s="2">
        <v>267.07</v>
      </c>
      <c r="X422" s="2">
        <v>656.2656164</v>
      </c>
      <c r="Y422" s="2" t="str">
        <f t="shared" si="31"/>
        <v>Normal</v>
      </c>
      <c r="Z422">
        <f t="shared" si="32"/>
        <v>5</v>
      </c>
      <c r="AA422">
        <f t="shared" si="33"/>
        <v>0.45999999999999996</v>
      </c>
      <c r="AB422">
        <f t="shared" si="34"/>
        <v>15.25</v>
      </c>
    </row>
    <row r="423" spans="1:28"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s="2">
        <v>6</v>
      </c>
      <c r="T423" s="2">
        <v>0.2</v>
      </c>
      <c r="U423" s="2">
        <v>56.566200000000002</v>
      </c>
      <c r="V423" t="str">
        <f t="shared" si="30"/>
        <v>Valid</v>
      </c>
      <c r="W423" s="2">
        <v>267.07</v>
      </c>
      <c r="X423" s="2">
        <v>656.2656164</v>
      </c>
      <c r="Y423" s="2" t="str">
        <f t="shared" si="31"/>
        <v>Normal</v>
      </c>
      <c r="Z423">
        <f t="shared" si="32"/>
        <v>3</v>
      </c>
      <c r="AA423">
        <f t="shared" si="33"/>
        <v>0.28749999999999998</v>
      </c>
      <c r="AB423">
        <f t="shared" si="34"/>
        <v>157.40160000000003</v>
      </c>
    </row>
    <row r="424" spans="1:28"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s="2">
        <v>4</v>
      </c>
      <c r="T424" s="2">
        <v>0</v>
      </c>
      <c r="U424" s="2">
        <v>14.7056</v>
      </c>
      <c r="V424" t="str">
        <f t="shared" si="30"/>
        <v>Valid</v>
      </c>
      <c r="W424" s="2">
        <v>267.07</v>
      </c>
      <c r="X424" s="2">
        <v>656.2656164</v>
      </c>
      <c r="Y424" s="2" t="str">
        <f t="shared" si="31"/>
        <v>Normal</v>
      </c>
      <c r="Z424">
        <f t="shared" si="32"/>
        <v>4</v>
      </c>
      <c r="AA424">
        <f t="shared" si="33"/>
        <v>0.26</v>
      </c>
      <c r="AB424">
        <f t="shared" si="34"/>
        <v>56.56</v>
      </c>
    </row>
    <row r="425" spans="1:28"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s="2">
        <v>3</v>
      </c>
      <c r="T425" s="2">
        <v>0</v>
      </c>
      <c r="U425" s="2">
        <v>8.5020000000000007</v>
      </c>
      <c r="V425" t="str">
        <f t="shared" si="30"/>
        <v>Valid</v>
      </c>
      <c r="W425" s="2">
        <v>267.07</v>
      </c>
      <c r="X425" s="2">
        <v>656.2656164</v>
      </c>
      <c r="Y425" s="2" t="str">
        <f t="shared" si="31"/>
        <v>Normal</v>
      </c>
      <c r="Z425">
        <f t="shared" si="32"/>
        <v>4</v>
      </c>
      <c r="AA425">
        <f t="shared" si="33"/>
        <v>0.26</v>
      </c>
      <c r="AB425">
        <f t="shared" si="34"/>
        <v>32.700000000000003</v>
      </c>
    </row>
    <row r="426" spans="1:28"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s="2">
        <v>4</v>
      </c>
      <c r="T426" s="2">
        <v>0</v>
      </c>
      <c r="U426" s="2">
        <v>225.26400000000001</v>
      </c>
      <c r="V426" t="str">
        <f t="shared" si="30"/>
        <v>Valid</v>
      </c>
      <c r="W426" s="2">
        <v>267.07</v>
      </c>
      <c r="X426" s="2">
        <v>656.2656164</v>
      </c>
      <c r="Y426" s="2" t="str">
        <f t="shared" si="31"/>
        <v>Normal</v>
      </c>
      <c r="Z426">
        <f t="shared" si="32"/>
        <v>2</v>
      </c>
      <c r="AA426">
        <f t="shared" si="33"/>
        <v>0.26</v>
      </c>
      <c r="AB426">
        <f t="shared" si="34"/>
        <v>866.4</v>
      </c>
    </row>
    <row r="427" spans="1:28"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s="2">
        <v>2</v>
      </c>
      <c r="T427" s="2">
        <v>0</v>
      </c>
      <c r="U427" s="2">
        <v>11.076000000000001</v>
      </c>
      <c r="V427" t="str">
        <f t="shared" si="30"/>
        <v>Valid</v>
      </c>
      <c r="W427" s="2">
        <v>267.07</v>
      </c>
      <c r="X427" s="2">
        <v>656.2656164</v>
      </c>
      <c r="Y427" s="2" t="str">
        <f t="shared" si="31"/>
        <v>Normal</v>
      </c>
      <c r="Z427">
        <f t="shared" si="32"/>
        <v>3</v>
      </c>
      <c r="AA427">
        <f t="shared" si="33"/>
        <v>0.39</v>
      </c>
      <c r="AB427">
        <f t="shared" si="34"/>
        <v>28.4</v>
      </c>
    </row>
    <row r="428" spans="1:28"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s="2">
        <v>8</v>
      </c>
      <c r="T428" s="2">
        <v>0</v>
      </c>
      <c r="U428" s="2">
        <v>138.20160000000001</v>
      </c>
      <c r="V428" t="str">
        <f t="shared" si="30"/>
        <v>Valid</v>
      </c>
      <c r="W428" s="2">
        <v>267.07</v>
      </c>
      <c r="X428" s="2">
        <v>656.2656164</v>
      </c>
      <c r="Y428" s="2" t="str">
        <f t="shared" si="31"/>
        <v>Normal</v>
      </c>
      <c r="Z428">
        <f t="shared" si="32"/>
        <v>3</v>
      </c>
      <c r="AA428">
        <f t="shared" si="33"/>
        <v>0.48000000000000004</v>
      </c>
      <c r="AB428">
        <f t="shared" si="34"/>
        <v>287.92</v>
      </c>
    </row>
    <row r="429" spans="1:28"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s="2">
        <v>1</v>
      </c>
      <c r="T429" s="2">
        <v>0</v>
      </c>
      <c r="U429" s="2">
        <v>30.095700000000001</v>
      </c>
      <c r="V429" t="str">
        <f t="shared" si="30"/>
        <v>Valid</v>
      </c>
      <c r="W429" s="2">
        <v>267.07</v>
      </c>
      <c r="X429" s="2">
        <v>656.2656164</v>
      </c>
      <c r="Y429" s="2" t="str">
        <f t="shared" si="31"/>
        <v>Normal</v>
      </c>
      <c r="Z429">
        <f t="shared" si="32"/>
        <v>1</v>
      </c>
      <c r="AA429">
        <f t="shared" si="33"/>
        <v>0.43000000000000005</v>
      </c>
      <c r="AB429">
        <f t="shared" si="34"/>
        <v>69.989999999999995</v>
      </c>
    </row>
    <row r="430" spans="1:28"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s="2">
        <v>6</v>
      </c>
      <c r="T430" s="2">
        <v>0.2</v>
      </c>
      <c r="U430" s="2">
        <v>0.50039999999999996</v>
      </c>
      <c r="V430" t="str">
        <f t="shared" si="30"/>
        <v>Valid</v>
      </c>
      <c r="W430" s="2">
        <v>267.07</v>
      </c>
      <c r="X430" s="2">
        <v>656.2656164</v>
      </c>
      <c r="Y430" s="2" t="str">
        <f t="shared" si="31"/>
        <v>Normal</v>
      </c>
      <c r="Z430">
        <f t="shared" si="32"/>
        <v>7</v>
      </c>
      <c r="AA430">
        <f t="shared" si="33"/>
        <v>7.4999999999999997E-2</v>
      </c>
      <c r="AB430">
        <f t="shared" si="34"/>
        <v>5.3376000000000001</v>
      </c>
    </row>
    <row r="431" spans="1:28"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s="2">
        <v>2</v>
      </c>
      <c r="T431" s="2">
        <v>0.7</v>
      </c>
      <c r="U431" s="2">
        <v>-145.35079999999999</v>
      </c>
      <c r="V431" t="str">
        <f t="shared" si="30"/>
        <v>Valid</v>
      </c>
      <c r="W431" s="2">
        <v>267.07</v>
      </c>
      <c r="X431" s="2">
        <v>656.2656164</v>
      </c>
      <c r="Y431" s="2" t="str">
        <f t="shared" si="31"/>
        <v>Normal</v>
      </c>
      <c r="Z431">
        <f t="shared" si="32"/>
        <v>6</v>
      </c>
      <c r="AA431">
        <f t="shared" si="33"/>
        <v>-0.76666666666666661</v>
      </c>
      <c r="AB431">
        <f t="shared" si="34"/>
        <v>56.876400000000004</v>
      </c>
    </row>
    <row r="432" spans="1:28"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s="2">
        <v>7</v>
      </c>
      <c r="T432" s="2">
        <v>0.2</v>
      </c>
      <c r="U432" s="2">
        <v>76.639499999999998</v>
      </c>
      <c r="V432" t="str">
        <f t="shared" si="30"/>
        <v>Valid</v>
      </c>
      <c r="W432" s="2">
        <v>267.07</v>
      </c>
      <c r="X432" s="2">
        <v>656.2656164</v>
      </c>
      <c r="Y432" s="2" t="str">
        <f t="shared" si="31"/>
        <v>Normal</v>
      </c>
      <c r="Z432">
        <f t="shared" si="32"/>
        <v>6</v>
      </c>
      <c r="AA432">
        <f t="shared" si="33"/>
        <v>0.18749999999999997</v>
      </c>
      <c r="AB432">
        <f t="shared" si="34"/>
        <v>326.99520000000007</v>
      </c>
    </row>
    <row r="433" spans="1:28"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s="2">
        <v>5</v>
      </c>
      <c r="T433" s="2">
        <v>0.2</v>
      </c>
      <c r="U433" s="2">
        <v>54.7425</v>
      </c>
      <c r="V433" t="str">
        <f t="shared" si="30"/>
        <v>Valid</v>
      </c>
      <c r="W433" s="2">
        <v>267.07</v>
      </c>
      <c r="X433" s="2">
        <v>656.2656164</v>
      </c>
      <c r="Y433" s="2" t="str">
        <f t="shared" si="31"/>
        <v>Normal</v>
      </c>
      <c r="Z433">
        <f t="shared" si="32"/>
        <v>6</v>
      </c>
      <c r="AA433">
        <f t="shared" si="33"/>
        <v>0.1875</v>
      </c>
      <c r="AB433">
        <f t="shared" si="34"/>
        <v>233.56799999999998</v>
      </c>
    </row>
    <row r="434" spans="1:28"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s="2">
        <v>2</v>
      </c>
      <c r="T434" s="2">
        <v>0.2</v>
      </c>
      <c r="U434" s="2">
        <v>-0.77480000000000004</v>
      </c>
      <c r="V434" t="str">
        <f t="shared" si="30"/>
        <v>Valid</v>
      </c>
      <c r="W434" s="2">
        <v>267.07</v>
      </c>
      <c r="X434" s="2">
        <v>656.2656164</v>
      </c>
      <c r="Y434" s="2" t="str">
        <f t="shared" si="31"/>
        <v>Normal</v>
      </c>
      <c r="Z434">
        <f t="shared" si="32"/>
        <v>6</v>
      </c>
      <c r="AA434">
        <f t="shared" si="33"/>
        <v>-0.16250000000000001</v>
      </c>
      <c r="AB434">
        <f t="shared" si="34"/>
        <v>3.8144</v>
      </c>
    </row>
    <row r="435" spans="1:28"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s="2">
        <v>5</v>
      </c>
      <c r="T435" s="2">
        <v>0</v>
      </c>
      <c r="U435" s="2">
        <v>207.14699999999999</v>
      </c>
      <c r="V435" t="str">
        <f t="shared" si="30"/>
        <v>Valid</v>
      </c>
      <c r="W435" s="2">
        <v>267.07</v>
      </c>
      <c r="X435" s="2">
        <v>656.2656164</v>
      </c>
      <c r="Y435" s="2" t="str">
        <f t="shared" si="31"/>
        <v>Normal</v>
      </c>
      <c r="Z435">
        <f t="shared" si="32"/>
        <v>1</v>
      </c>
      <c r="AA435">
        <f t="shared" si="33"/>
        <v>0.28999999999999998</v>
      </c>
      <c r="AB435">
        <f t="shared" si="34"/>
        <v>714.3</v>
      </c>
    </row>
    <row r="436" spans="1:28"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s="2">
        <v>2</v>
      </c>
      <c r="T436" s="2">
        <v>0.7</v>
      </c>
      <c r="U436" s="2">
        <v>-3.6892</v>
      </c>
      <c r="V436" t="str">
        <f t="shared" si="30"/>
        <v>Valid</v>
      </c>
      <c r="W436" s="2">
        <v>267.07</v>
      </c>
      <c r="X436" s="2">
        <v>656.2656164</v>
      </c>
      <c r="Y436" s="2" t="str">
        <f t="shared" si="31"/>
        <v>Normal</v>
      </c>
      <c r="Z436">
        <f t="shared" si="32"/>
        <v>6</v>
      </c>
      <c r="AA436">
        <f t="shared" si="33"/>
        <v>-0.76666666666666661</v>
      </c>
      <c r="AB436">
        <f t="shared" si="34"/>
        <v>1.4436000000000002</v>
      </c>
    </row>
    <row r="437" spans="1:28"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s="2">
        <v>5</v>
      </c>
      <c r="T437" s="2">
        <v>0.2</v>
      </c>
      <c r="U437" s="2">
        <v>-18.585000000000001</v>
      </c>
      <c r="V437" t="str">
        <f t="shared" si="30"/>
        <v>Valid</v>
      </c>
      <c r="W437" s="2">
        <v>267.07</v>
      </c>
      <c r="X437" s="2">
        <v>656.2656164</v>
      </c>
      <c r="Y437" s="2" t="str">
        <f t="shared" si="31"/>
        <v>Normal</v>
      </c>
      <c r="Z437">
        <f t="shared" si="32"/>
        <v>6</v>
      </c>
      <c r="AA437">
        <f t="shared" si="33"/>
        <v>-7.4999999999999997E-2</v>
      </c>
      <c r="AB437">
        <f t="shared" si="34"/>
        <v>198.24</v>
      </c>
    </row>
    <row r="438" spans="1:28"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s="2">
        <v>3</v>
      </c>
      <c r="T438" s="2">
        <v>0.3</v>
      </c>
      <c r="U438" s="2">
        <v>43.199100000000001</v>
      </c>
      <c r="V438" t="str">
        <f t="shared" si="30"/>
        <v>Valid</v>
      </c>
      <c r="W438" s="2">
        <v>267.07</v>
      </c>
      <c r="X438" s="2">
        <v>656.2656164</v>
      </c>
      <c r="Y438" s="2" t="str">
        <f t="shared" si="31"/>
        <v>Normal</v>
      </c>
      <c r="Z438">
        <f t="shared" si="32"/>
        <v>2</v>
      </c>
      <c r="AA438">
        <f t="shared" si="33"/>
        <v>4.2857142857142858E-2</v>
      </c>
      <c r="AB438">
        <f t="shared" si="34"/>
        <v>705.58529999999996</v>
      </c>
    </row>
    <row r="439" spans="1:28"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s="2">
        <v>7</v>
      </c>
      <c r="T439" s="2">
        <v>0.2</v>
      </c>
      <c r="U439" s="2">
        <v>113.63939999999999</v>
      </c>
      <c r="V439" t="str">
        <f t="shared" si="30"/>
        <v>Valid</v>
      </c>
      <c r="W439" s="2">
        <v>267.07</v>
      </c>
      <c r="X439" s="2">
        <v>656.2656164</v>
      </c>
      <c r="Y439" s="2" t="str">
        <f t="shared" si="31"/>
        <v>Normal</v>
      </c>
      <c r="Z439">
        <f t="shared" si="32"/>
        <v>2</v>
      </c>
      <c r="AA439">
        <f t="shared" si="33"/>
        <v>0.36249999999999999</v>
      </c>
      <c r="AB439">
        <f t="shared" si="34"/>
        <v>250.79040000000001</v>
      </c>
    </row>
    <row r="440" spans="1:28"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s="2">
        <v>8</v>
      </c>
      <c r="T440" s="2">
        <v>0.2</v>
      </c>
      <c r="U440" s="2">
        <v>11.553599999999999</v>
      </c>
      <c r="V440" t="str">
        <f t="shared" si="30"/>
        <v>Valid</v>
      </c>
      <c r="W440" s="2">
        <v>267.07</v>
      </c>
      <c r="X440" s="2">
        <v>656.2656164</v>
      </c>
      <c r="Y440" s="2" t="str">
        <f t="shared" si="31"/>
        <v>Normal</v>
      </c>
      <c r="Z440">
        <f t="shared" si="32"/>
        <v>4</v>
      </c>
      <c r="AA440">
        <f t="shared" si="33"/>
        <v>0.36249999999999999</v>
      </c>
      <c r="AB440">
        <f t="shared" si="34"/>
        <v>25.497600000000002</v>
      </c>
    </row>
    <row r="441" spans="1:28"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s="2">
        <v>3</v>
      </c>
      <c r="T441" s="2">
        <v>0.1</v>
      </c>
      <c r="U441" s="2">
        <v>2.3094000000000001</v>
      </c>
      <c r="V441" t="str">
        <f t="shared" si="30"/>
        <v>Valid</v>
      </c>
      <c r="W441" s="2">
        <v>267.07</v>
      </c>
      <c r="X441" s="2">
        <v>656.2656164</v>
      </c>
      <c r="Y441" s="2" t="str">
        <f t="shared" si="31"/>
        <v>Normal</v>
      </c>
      <c r="Z441">
        <f t="shared" si="32"/>
        <v>3</v>
      </c>
      <c r="AA441">
        <f t="shared" si="33"/>
        <v>1.1111111111111112E-2</v>
      </c>
      <c r="AB441">
        <f t="shared" si="34"/>
        <v>187.06140000000002</v>
      </c>
    </row>
    <row r="442" spans="1:28"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s="2">
        <v>1</v>
      </c>
      <c r="T442" s="2">
        <v>0</v>
      </c>
      <c r="U442" s="2">
        <v>3.6659999999999999</v>
      </c>
      <c r="V442" t="str">
        <f t="shared" si="30"/>
        <v>Valid</v>
      </c>
      <c r="W442" s="2">
        <v>267.07</v>
      </c>
      <c r="X442" s="2">
        <v>656.2656164</v>
      </c>
      <c r="Y442" s="2" t="str">
        <f t="shared" si="31"/>
        <v>Normal</v>
      </c>
      <c r="Z442">
        <f t="shared" si="32"/>
        <v>2</v>
      </c>
      <c r="AA442">
        <f t="shared" si="33"/>
        <v>0.3</v>
      </c>
      <c r="AB442">
        <f t="shared" si="34"/>
        <v>12.22</v>
      </c>
    </row>
    <row r="443" spans="1:28"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s="2">
        <v>3</v>
      </c>
      <c r="T443" s="2">
        <v>0</v>
      </c>
      <c r="U443" s="2">
        <v>23.392800000000001</v>
      </c>
      <c r="V443" t="str">
        <f t="shared" si="30"/>
        <v>Valid</v>
      </c>
      <c r="W443" s="2">
        <v>267.07</v>
      </c>
      <c r="X443" s="2">
        <v>656.2656164</v>
      </c>
      <c r="Y443" s="2" t="str">
        <f t="shared" si="31"/>
        <v>Normal</v>
      </c>
      <c r="Z443">
        <f t="shared" si="32"/>
        <v>2</v>
      </c>
      <c r="AA443">
        <f t="shared" si="33"/>
        <v>0.12000000000000001</v>
      </c>
      <c r="AB443">
        <f t="shared" si="34"/>
        <v>194.94</v>
      </c>
    </row>
    <row r="444" spans="1:28"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s="2">
        <v>3</v>
      </c>
      <c r="T444" s="2">
        <v>0</v>
      </c>
      <c r="U444" s="2">
        <v>20.575500000000002</v>
      </c>
      <c r="V444" t="str">
        <f t="shared" si="30"/>
        <v>Valid</v>
      </c>
      <c r="W444" s="2">
        <v>267.07</v>
      </c>
      <c r="X444" s="2">
        <v>656.2656164</v>
      </c>
      <c r="Y444" s="2" t="str">
        <f t="shared" si="31"/>
        <v>Normal</v>
      </c>
      <c r="Z444">
        <f t="shared" si="32"/>
        <v>2</v>
      </c>
      <c r="AA444">
        <f t="shared" si="33"/>
        <v>0.29000000000000004</v>
      </c>
      <c r="AB444">
        <f t="shared" si="34"/>
        <v>70.95</v>
      </c>
    </row>
    <row r="445" spans="1:28"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s="2">
        <v>4</v>
      </c>
      <c r="T445" s="2">
        <v>0</v>
      </c>
      <c r="U445" s="2">
        <v>42.025599999999997</v>
      </c>
      <c r="V445" t="str">
        <f t="shared" si="30"/>
        <v>Valid</v>
      </c>
      <c r="W445" s="2">
        <v>267.07</v>
      </c>
      <c r="X445" s="2">
        <v>656.2656164</v>
      </c>
      <c r="Y445" s="2" t="str">
        <f t="shared" si="31"/>
        <v>Normal</v>
      </c>
      <c r="Z445">
        <f t="shared" si="32"/>
        <v>2</v>
      </c>
      <c r="AA445">
        <f t="shared" si="33"/>
        <v>0.45999999999999996</v>
      </c>
      <c r="AB445">
        <f t="shared" si="34"/>
        <v>91.36</v>
      </c>
    </row>
    <row r="446" spans="1:28"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s="2">
        <v>3</v>
      </c>
      <c r="T446" s="2">
        <v>0</v>
      </c>
      <c r="U446" s="2">
        <v>29.152799999999999</v>
      </c>
      <c r="V446" t="str">
        <f t="shared" si="30"/>
        <v>Valid</v>
      </c>
      <c r="W446" s="2">
        <v>267.07</v>
      </c>
      <c r="X446" s="2">
        <v>656.2656164</v>
      </c>
      <c r="Y446" s="2" t="str">
        <f t="shared" si="31"/>
        <v>Normal</v>
      </c>
      <c r="Z446">
        <f t="shared" si="32"/>
        <v>2</v>
      </c>
      <c r="AA446">
        <f t="shared" si="33"/>
        <v>0.12</v>
      </c>
      <c r="AB446">
        <f t="shared" si="34"/>
        <v>242.94</v>
      </c>
    </row>
    <row r="447" spans="1:28"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s="2">
        <v>7</v>
      </c>
      <c r="T447" s="2">
        <v>0</v>
      </c>
      <c r="U447" s="2">
        <v>10.584</v>
      </c>
      <c r="V447" t="str">
        <f t="shared" si="30"/>
        <v>Valid</v>
      </c>
      <c r="W447" s="2">
        <v>267.07</v>
      </c>
      <c r="X447" s="2">
        <v>656.2656164</v>
      </c>
      <c r="Y447" s="2" t="str">
        <f t="shared" si="31"/>
        <v>Normal</v>
      </c>
      <c r="Z447">
        <f t="shared" si="32"/>
        <v>2</v>
      </c>
      <c r="AA447">
        <f t="shared" si="33"/>
        <v>0.48</v>
      </c>
      <c r="AB447">
        <f t="shared" si="34"/>
        <v>22.05</v>
      </c>
    </row>
    <row r="448" spans="1:28"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s="2">
        <v>1</v>
      </c>
      <c r="T448" s="2">
        <v>0</v>
      </c>
      <c r="U448" s="2">
        <v>1.3676999999999999</v>
      </c>
      <c r="V448" t="str">
        <f t="shared" si="30"/>
        <v>Valid</v>
      </c>
      <c r="W448" s="2">
        <v>267.07</v>
      </c>
      <c r="X448" s="2">
        <v>656.2656164</v>
      </c>
      <c r="Y448" s="2" t="str">
        <f t="shared" si="31"/>
        <v>Normal</v>
      </c>
      <c r="Z448">
        <f t="shared" si="32"/>
        <v>5</v>
      </c>
      <c r="AA448">
        <f t="shared" si="33"/>
        <v>0.47</v>
      </c>
      <c r="AB448">
        <f t="shared" si="34"/>
        <v>2.91</v>
      </c>
    </row>
    <row r="449" spans="1:28"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s="2">
        <v>3</v>
      </c>
      <c r="T449" s="2">
        <v>0</v>
      </c>
      <c r="U449" s="2">
        <v>15.475199999999999</v>
      </c>
      <c r="V449" t="str">
        <f t="shared" si="30"/>
        <v>Valid</v>
      </c>
      <c r="W449" s="2">
        <v>267.07</v>
      </c>
      <c r="X449" s="2">
        <v>656.2656164</v>
      </c>
      <c r="Y449" s="2" t="str">
        <f t="shared" si="31"/>
        <v>Normal</v>
      </c>
      <c r="Z449">
        <f t="shared" si="32"/>
        <v>2</v>
      </c>
      <c r="AA449">
        <f t="shared" si="33"/>
        <v>0.25999999999999995</v>
      </c>
      <c r="AB449">
        <f t="shared" si="34"/>
        <v>59.52</v>
      </c>
    </row>
    <row r="450" spans="1:28"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s="2">
        <v>3</v>
      </c>
      <c r="T450" s="2">
        <v>0</v>
      </c>
      <c r="U450" s="2">
        <v>9.7164000000000001</v>
      </c>
      <c r="V450" t="str">
        <f t="shared" si="30"/>
        <v>Valid</v>
      </c>
      <c r="W450" s="2">
        <v>267.07</v>
      </c>
      <c r="X450" s="2">
        <v>656.2656164</v>
      </c>
      <c r="Y450" s="2" t="str">
        <f t="shared" si="31"/>
        <v>Normal</v>
      </c>
      <c r="Z450">
        <f t="shared" si="32"/>
        <v>2</v>
      </c>
      <c r="AA450">
        <f t="shared" si="33"/>
        <v>6.0000000000000005E-2</v>
      </c>
      <c r="AB450">
        <f t="shared" si="34"/>
        <v>161.94</v>
      </c>
    </row>
    <row r="451" spans="1:28"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s="2">
        <v>6</v>
      </c>
      <c r="T451" s="2">
        <v>0</v>
      </c>
      <c r="U451" s="2">
        <v>71.247600000000006</v>
      </c>
      <c r="V451" t="str">
        <f t="shared" ref="V451:V514" si="35">IF(D451&gt;=C451, "Valid", "Error")</f>
        <v>Valid</v>
      </c>
      <c r="W451" s="2">
        <v>267.07</v>
      </c>
      <c r="X451" s="2">
        <v>656.2656164</v>
      </c>
      <c r="Y451" s="2" t="str">
        <f t="shared" ref="Y451:Y514" si="36">IF(R451 &gt;(W451 + 3*X451), "High Outlier",  "Normal")</f>
        <v>Normal</v>
      </c>
      <c r="Z451">
        <f t="shared" ref="Z451:Z514" si="37">_xlfn.DAYS(D451,C451)</f>
        <v>2</v>
      </c>
      <c r="AA451">
        <f t="shared" ref="AA451:AA514" si="38">U451/R451</f>
        <v>0.27</v>
      </c>
      <c r="AB451">
        <f t="shared" ref="AB451:AB514" si="39">R451*(1-T451)</f>
        <v>263.88</v>
      </c>
    </row>
    <row r="452" spans="1:28"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s="2">
        <v>3</v>
      </c>
      <c r="T452" s="2">
        <v>0</v>
      </c>
      <c r="U452" s="2">
        <v>7.9248000000000003</v>
      </c>
      <c r="V452" t="str">
        <f t="shared" si="35"/>
        <v>Valid</v>
      </c>
      <c r="W452" s="2">
        <v>267.07</v>
      </c>
      <c r="X452" s="2">
        <v>656.2656164</v>
      </c>
      <c r="Y452" s="2" t="str">
        <f t="shared" si="36"/>
        <v>Normal</v>
      </c>
      <c r="Z452">
        <f t="shared" si="37"/>
        <v>2</v>
      </c>
      <c r="AA452">
        <f t="shared" si="38"/>
        <v>0.26</v>
      </c>
      <c r="AB452">
        <f t="shared" si="39"/>
        <v>30.48</v>
      </c>
    </row>
    <row r="453" spans="1:28"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s="2">
        <v>3</v>
      </c>
      <c r="T453" s="2">
        <v>0</v>
      </c>
      <c r="U453" s="2">
        <v>2.8536000000000001</v>
      </c>
      <c r="V453" t="str">
        <f t="shared" si="35"/>
        <v>Valid</v>
      </c>
      <c r="W453" s="2">
        <v>267.07</v>
      </c>
      <c r="X453" s="2">
        <v>656.2656164</v>
      </c>
      <c r="Y453" s="2" t="str">
        <f t="shared" si="36"/>
        <v>Normal</v>
      </c>
      <c r="Z453">
        <f t="shared" si="37"/>
        <v>2</v>
      </c>
      <c r="AA453">
        <f t="shared" si="38"/>
        <v>0.29000000000000004</v>
      </c>
      <c r="AB453">
        <f t="shared" si="39"/>
        <v>9.84</v>
      </c>
    </row>
    <row r="454" spans="1:28"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s="2">
        <v>4</v>
      </c>
      <c r="T454" s="2">
        <v>0</v>
      </c>
      <c r="U454" s="2">
        <v>9.1311999999999998</v>
      </c>
      <c r="V454" t="str">
        <f t="shared" si="35"/>
        <v>Valid</v>
      </c>
      <c r="W454" s="2">
        <v>267.07</v>
      </c>
      <c r="X454" s="2">
        <v>656.2656164</v>
      </c>
      <c r="Y454" s="2" t="str">
        <f t="shared" si="36"/>
        <v>Normal</v>
      </c>
      <c r="Z454">
        <f t="shared" si="37"/>
        <v>2</v>
      </c>
      <c r="AA454">
        <f t="shared" si="38"/>
        <v>0.26</v>
      </c>
      <c r="AB454">
        <f t="shared" si="39"/>
        <v>35.119999999999997</v>
      </c>
    </row>
    <row r="455" spans="1:28"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s="2">
        <v>2</v>
      </c>
      <c r="T455" s="2">
        <v>0.4</v>
      </c>
      <c r="U455" s="2">
        <v>-75.830399999999997</v>
      </c>
      <c r="V455" t="str">
        <f t="shared" si="35"/>
        <v>Valid</v>
      </c>
      <c r="W455" s="2">
        <v>267.07</v>
      </c>
      <c r="X455" s="2">
        <v>656.2656164</v>
      </c>
      <c r="Y455" s="2" t="str">
        <f t="shared" si="36"/>
        <v>Normal</v>
      </c>
      <c r="Z455">
        <f t="shared" si="37"/>
        <v>4</v>
      </c>
      <c r="AA455">
        <f t="shared" si="38"/>
        <v>-0.26666666666666666</v>
      </c>
      <c r="AB455">
        <f t="shared" si="39"/>
        <v>170.61839999999998</v>
      </c>
    </row>
    <row r="456" spans="1:28"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s="2">
        <v>2</v>
      </c>
      <c r="T456" s="2">
        <v>0.2</v>
      </c>
      <c r="U456" s="2">
        <v>66.540800000000004</v>
      </c>
      <c r="V456" t="str">
        <f t="shared" si="35"/>
        <v>Valid</v>
      </c>
      <c r="W456" s="2">
        <v>267.07</v>
      </c>
      <c r="X456" s="2">
        <v>656.2656164</v>
      </c>
      <c r="Y456" s="2" t="str">
        <f t="shared" si="36"/>
        <v>Normal</v>
      </c>
      <c r="Z456">
        <f t="shared" si="37"/>
        <v>4</v>
      </c>
      <c r="AA456">
        <f t="shared" si="38"/>
        <v>0.1</v>
      </c>
      <c r="AB456">
        <f t="shared" si="39"/>
        <v>532.32640000000004</v>
      </c>
    </row>
    <row r="457" spans="1:28"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s="2">
        <v>4</v>
      </c>
      <c r="T457" s="2">
        <v>0</v>
      </c>
      <c r="U457" s="2">
        <v>24.9132</v>
      </c>
      <c r="V457" t="str">
        <f t="shared" si="35"/>
        <v>Valid</v>
      </c>
      <c r="W457" s="2">
        <v>267.07</v>
      </c>
      <c r="X457" s="2">
        <v>656.2656164</v>
      </c>
      <c r="Y457" s="2" t="str">
        <f t="shared" si="36"/>
        <v>Normal</v>
      </c>
      <c r="Z457">
        <f t="shared" si="37"/>
        <v>4</v>
      </c>
      <c r="AA457">
        <f t="shared" si="38"/>
        <v>0.38999999999999996</v>
      </c>
      <c r="AB457">
        <f t="shared" si="39"/>
        <v>63.88</v>
      </c>
    </row>
    <row r="458" spans="1:28"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s="2">
        <v>2</v>
      </c>
      <c r="T458" s="2">
        <v>0.2</v>
      </c>
      <c r="U458" s="2">
        <v>-24.294</v>
      </c>
      <c r="V458" t="str">
        <f t="shared" si="35"/>
        <v>Valid</v>
      </c>
      <c r="W458" s="2">
        <v>267.07</v>
      </c>
      <c r="X458" s="2">
        <v>656.2656164</v>
      </c>
      <c r="Y458" s="2" t="str">
        <f t="shared" si="36"/>
        <v>Normal</v>
      </c>
      <c r="Z458">
        <f t="shared" si="37"/>
        <v>6</v>
      </c>
      <c r="AA458">
        <f t="shared" si="38"/>
        <v>-0.1875</v>
      </c>
      <c r="AB458">
        <f t="shared" si="39"/>
        <v>103.65440000000001</v>
      </c>
    </row>
    <row r="459" spans="1:28"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s="2">
        <v>3</v>
      </c>
      <c r="T459" s="2">
        <v>0.3</v>
      </c>
      <c r="U459" s="2">
        <v>-96.114599999999996</v>
      </c>
      <c r="V459" t="str">
        <f t="shared" si="35"/>
        <v>Valid</v>
      </c>
      <c r="W459" s="2">
        <v>267.07</v>
      </c>
      <c r="X459" s="2">
        <v>656.2656164</v>
      </c>
      <c r="Y459" s="2" t="str">
        <f t="shared" si="36"/>
        <v>Normal</v>
      </c>
      <c r="Z459">
        <f t="shared" si="37"/>
        <v>5</v>
      </c>
      <c r="AA459">
        <f t="shared" si="38"/>
        <v>-0.12857142857142856</v>
      </c>
      <c r="AB459">
        <f t="shared" si="39"/>
        <v>523.29059999999993</v>
      </c>
    </row>
    <row r="460" spans="1:28"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s="2">
        <v>2</v>
      </c>
      <c r="T460" s="2">
        <v>0.2</v>
      </c>
      <c r="U460" s="2">
        <v>3.3479999999999999</v>
      </c>
      <c r="V460" t="str">
        <f t="shared" si="35"/>
        <v>Valid</v>
      </c>
      <c r="W460" s="2">
        <v>267.07</v>
      </c>
      <c r="X460" s="2">
        <v>656.2656164</v>
      </c>
      <c r="Y460" s="2" t="str">
        <f t="shared" si="36"/>
        <v>Normal</v>
      </c>
      <c r="Z460">
        <f t="shared" si="37"/>
        <v>5</v>
      </c>
      <c r="AA460">
        <f t="shared" si="38"/>
        <v>0.37499999999999994</v>
      </c>
      <c r="AB460">
        <f t="shared" si="39"/>
        <v>7.1424000000000012</v>
      </c>
    </row>
    <row r="461" spans="1:28"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s="2">
        <v>4</v>
      </c>
      <c r="T461" s="2">
        <v>0</v>
      </c>
      <c r="U461" s="2">
        <v>36.372</v>
      </c>
      <c r="V461" t="str">
        <f t="shared" si="35"/>
        <v>Valid</v>
      </c>
      <c r="W461" s="2">
        <v>267.07</v>
      </c>
      <c r="X461" s="2">
        <v>656.2656164</v>
      </c>
      <c r="Y461" s="2" t="str">
        <f t="shared" si="36"/>
        <v>Normal</v>
      </c>
      <c r="Z461">
        <f t="shared" si="37"/>
        <v>7</v>
      </c>
      <c r="AA461">
        <f t="shared" si="38"/>
        <v>0.35</v>
      </c>
      <c r="AB461">
        <f t="shared" si="39"/>
        <v>103.92</v>
      </c>
    </row>
    <row r="462" spans="1:28"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s="2">
        <v>9</v>
      </c>
      <c r="T462" s="2">
        <v>0</v>
      </c>
      <c r="U462" s="2">
        <v>377.9622</v>
      </c>
      <c r="V462" t="str">
        <f t="shared" si="35"/>
        <v>Valid</v>
      </c>
      <c r="W462" s="2">
        <v>267.07</v>
      </c>
      <c r="X462" s="2">
        <v>656.2656164</v>
      </c>
      <c r="Y462" s="2" t="str">
        <f t="shared" si="36"/>
        <v>Normal</v>
      </c>
      <c r="Z462">
        <f t="shared" si="37"/>
        <v>7</v>
      </c>
      <c r="AA462">
        <f t="shared" si="38"/>
        <v>0.42</v>
      </c>
      <c r="AB462">
        <f t="shared" si="39"/>
        <v>899.91</v>
      </c>
    </row>
    <row r="463" spans="1:28"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s="2">
        <v>3</v>
      </c>
      <c r="T463" s="2">
        <v>0.2</v>
      </c>
      <c r="U463" s="2">
        <v>18.6006</v>
      </c>
      <c r="V463" t="str">
        <f t="shared" si="35"/>
        <v>Valid</v>
      </c>
      <c r="W463" s="2">
        <v>267.07</v>
      </c>
      <c r="X463" s="2">
        <v>656.2656164</v>
      </c>
      <c r="Y463" s="2" t="str">
        <f t="shared" si="36"/>
        <v>Normal</v>
      </c>
      <c r="Z463">
        <f t="shared" si="37"/>
        <v>7</v>
      </c>
      <c r="AA463">
        <f t="shared" si="38"/>
        <v>0.36250000000000004</v>
      </c>
      <c r="AB463">
        <f t="shared" si="39"/>
        <v>41.049599999999998</v>
      </c>
    </row>
    <row r="464" spans="1:28"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s="2">
        <v>5</v>
      </c>
      <c r="T464" s="2">
        <v>0.2</v>
      </c>
      <c r="U464" s="2">
        <v>7.0679999999999996</v>
      </c>
      <c r="V464" t="str">
        <f t="shared" si="35"/>
        <v>Valid</v>
      </c>
      <c r="W464" s="2">
        <v>267.07</v>
      </c>
      <c r="X464" s="2">
        <v>656.2656164</v>
      </c>
      <c r="Y464" s="2" t="str">
        <f t="shared" si="36"/>
        <v>Normal</v>
      </c>
      <c r="Z464">
        <f t="shared" si="37"/>
        <v>7</v>
      </c>
      <c r="AA464">
        <f t="shared" si="38"/>
        <v>0.3</v>
      </c>
      <c r="AB464">
        <f t="shared" si="39"/>
        <v>18.847999999999999</v>
      </c>
    </row>
    <row r="465" spans="1:28"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s="2">
        <v>6</v>
      </c>
      <c r="T465" s="2">
        <v>0.5</v>
      </c>
      <c r="U465" s="2">
        <v>-814.48320000000001</v>
      </c>
      <c r="V465" t="str">
        <f t="shared" si="35"/>
        <v>Valid</v>
      </c>
      <c r="W465" s="2">
        <v>267.07</v>
      </c>
      <c r="X465" s="2">
        <v>656.2656164</v>
      </c>
      <c r="Y465" s="2" t="str">
        <f t="shared" si="36"/>
        <v>Normal</v>
      </c>
      <c r="Z465">
        <f t="shared" si="37"/>
        <v>7</v>
      </c>
      <c r="AA465">
        <f t="shared" si="38"/>
        <v>-0.6399999999999999</v>
      </c>
      <c r="AB465">
        <f t="shared" si="39"/>
        <v>636.31500000000005</v>
      </c>
    </row>
    <row r="466" spans="1:28"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s="2">
        <v>5</v>
      </c>
      <c r="T466" s="2">
        <v>0.7</v>
      </c>
      <c r="U466" s="2">
        <v>-20.888999999999999</v>
      </c>
      <c r="V466" t="str">
        <f t="shared" si="35"/>
        <v>Valid</v>
      </c>
      <c r="W466" s="2">
        <v>267.07</v>
      </c>
      <c r="X466" s="2">
        <v>656.2656164</v>
      </c>
      <c r="Y466" s="2" t="str">
        <f t="shared" si="36"/>
        <v>Normal</v>
      </c>
      <c r="Z466">
        <f t="shared" si="37"/>
        <v>7</v>
      </c>
      <c r="AA466">
        <f t="shared" si="38"/>
        <v>-0.73333333333333328</v>
      </c>
      <c r="AB466">
        <f t="shared" si="39"/>
        <v>8.5455000000000005</v>
      </c>
    </row>
    <row r="467" spans="1:28"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s="2">
        <v>2</v>
      </c>
      <c r="T467" s="2">
        <v>0.2</v>
      </c>
      <c r="U467" s="2">
        <v>-34.758000000000003</v>
      </c>
      <c r="V467" t="str">
        <f t="shared" si="35"/>
        <v>Valid</v>
      </c>
      <c r="W467" s="2">
        <v>267.07</v>
      </c>
      <c r="X467" s="2">
        <v>656.2656164</v>
      </c>
      <c r="Y467" s="2" t="str">
        <f t="shared" si="36"/>
        <v>Normal</v>
      </c>
      <c r="Z467">
        <f t="shared" si="37"/>
        <v>7</v>
      </c>
      <c r="AA467">
        <f t="shared" si="38"/>
        <v>-0.1875</v>
      </c>
      <c r="AB467">
        <f t="shared" si="39"/>
        <v>148.30080000000001</v>
      </c>
    </row>
    <row r="468" spans="1:28"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s="2">
        <v>2</v>
      </c>
      <c r="T468" s="2">
        <v>0.2</v>
      </c>
      <c r="U468" s="2">
        <v>5.8704000000000001</v>
      </c>
      <c r="V468" t="str">
        <f t="shared" si="35"/>
        <v>Valid</v>
      </c>
      <c r="W468" s="2">
        <v>267.07</v>
      </c>
      <c r="X468" s="2">
        <v>656.2656164</v>
      </c>
      <c r="Y468" s="2" t="str">
        <f t="shared" si="36"/>
        <v>Normal</v>
      </c>
      <c r="Z468">
        <f t="shared" si="37"/>
        <v>7</v>
      </c>
      <c r="AA468">
        <f t="shared" si="38"/>
        <v>7.4999999999999997E-2</v>
      </c>
      <c r="AB468">
        <f t="shared" si="39"/>
        <v>62.61760000000001</v>
      </c>
    </row>
    <row r="469" spans="1:28"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s="2">
        <v>7</v>
      </c>
      <c r="T469" s="2">
        <v>0.6</v>
      </c>
      <c r="U469" s="2">
        <v>-312.06139999999999</v>
      </c>
      <c r="V469" t="str">
        <f t="shared" si="35"/>
        <v>Valid</v>
      </c>
      <c r="W469" s="2">
        <v>267.07</v>
      </c>
      <c r="X469" s="2">
        <v>656.2656164</v>
      </c>
      <c r="Y469" s="2" t="str">
        <f t="shared" si="36"/>
        <v>Normal</v>
      </c>
      <c r="Z469">
        <f t="shared" si="37"/>
        <v>7</v>
      </c>
      <c r="AA469">
        <f t="shared" si="38"/>
        <v>-1.2249999999999999</v>
      </c>
      <c r="AB469">
        <f t="shared" si="39"/>
        <v>101.89760000000001</v>
      </c>
    </row>
    <row r="470" spans="1:28"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s="2">
        <v>2</v>
      </c>
      <c r="T470" s="2">
        <v>0.32</v>
      </c>
      <c r="U470" s="2">
        <v>-36.235199999999999</v>
      </c>
      <c r="V470" t="str">
        <f t="shared" si="35"/>
        <v>Valid</v>
      </c>
      <c r="W470" s="2">
        <v>267.07</v>
      </c>
      <c r="X470" s="2">
        <v>656.2656164</v>
      </c>
      <c r="Y470" s="2" t="str">
        <f t="shared" si="36"/>
        <v>Normal</v>
      </c>
      <c r="Z470">
        <f t="shared" si="37"/>
        <v>4</v>
      </c>
      <c r="AA470">
        <f t="shared" si="38"/>
        <v>-0.17647058823529413</v>
      </c>
      <c r="AB470">
        <f t="shared" si="39"/>
        <v>139.62630399999998</v>
      </c>
    </row>
    <row r="471" spans="1:28"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s="2">
        <v>3</v>
      </c>
      <c r="T471" s="2">
        <v>0.8</v>
      </c>
      <c r="U471" s="2">
        <v>-7.9001999999999999</v>
      </c>
      <c r="V471" t="str">
        <f t="shared" si="35"/>
        <v>Valid</v>
      </c>
      <c r="W471" s="2">
        <v>267.07</v>
      </c>
      <c r="X471" s="2">
        <v>656.2656164</v>
      </c>
      <c r="Y471" s="2" t="str">
        <f t="shared" si="36"/>
        <v>Normal</v>
      </c>
      <c r="Z471">
        <f t="shared" si="37"/>
        <v>4</v>
      </c>
      <c r="AA471">
        <f t="shared" si="38"/>
        <v>-1.65</v>
      </c>
      <c r="AB471">
        <f t="shared" si="39"/>
        <v>0.95759999999999978</v>
      </c>
    </row>
    <row r="472" spans="1:28"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s="2">
        <v>1</v>
      </c>
      <c r="T472" s="2">
        <v>0</v>
      </c>
      <c r="U472" s="2">
        <v>26.630400000000002</v>
      </c>
      <c r="V472" t="str">
        <f t="shared" si="35"/>
        <v>Valid</v>
      </c>
      <c r="W472" s="2">
        <v>267.07</v>
      </c>
      <c r="X472" s="2">
        <v>656.2656164</v>
      </c>
      <c r="Y472" s="2" t="str">
        <f t="shared" si="36"/>
        <v>Normal</v>
      </c>
      <c r="Z472">
        <f t="shared" si="37"/>
        <v>4</v>
      </c>
      <c r="AA472">
        <f t="shared" si="38"/>
        <v>0.48000000000000004</v>
      </c>
      <c r="AB472">
        <f t="shared" si="39"/>
        <v>55.48</v>
      </c>
    </row>
    <row r="473" spans="1:28"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s="2">
        <v>3</v>
      </c>
      <c r="T473" s="2">
        <v>0</v>
      </c>
      <c r="U473" s="2">
        <v>3.4091999999999998</v>
      </c>
      <c r="V473" t="str">
        <f t="shared" si="35"/>
        <v>Valid</v>
      </c>
      <c r="W473" s="2">
        <v>267.07</v>
      </c>
      <c r="X473" s="2">
        <v>656.2656164</v>
      </c>
      <c r="Y473" s="2" t="str">
        <f t="shared" si="36"/>
        <v>Normal</v>
      </c>
      <c r="Z473">
        <f t="shared" si="37"/>
        <v>2</v>
      </c>
      <c r="AA473">
        <f t="shared" si="38"/>
        <v>9.9999999999999985E-3</v>
      </c>
      <c r="AB473">
        <f t="shared" si="39"/>
        <v>340.92</v>
      </c>
    </row>
    <row r="474" spans="1:28"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s="2">
        <v>2</v>
      </c>
      <c r="T474" s="2">
        <v>0.15</v>
      </c>
      <c r="U474" s="2">
        <v>10.478400000000001</v>
      </c>
      <c r="V474" t="str">
        <f t="shared" si="35"/>
        <v>Valid</v>
      </c>
      <c r="W474" s="2">
        <v>267.07</v>
      </c>
      <c r="X474" s="2">
        <v>656.2656164</v>
      </c>
      <c r="Y474" s="2" t="str">
        <f t="shared" si="36"/>
        <v>Normal</v>
      </c>
      <c r="Z474">
        <f t="shared" si="37"/>
        <v>2</v>
      </c>
      <c r="AA474">
        <f t="shared" si="38"/>
        <v>4.7058823529411771E-2</v>
      </c>
      <c r="AB474">
        <f t="shared" si="39"/>
        <v>189.26609999999999</v>
      </c>
    </row>
    <row r="475" spans="1:28"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s="2">
        <v>4</v>
      </c>
      <c r="T475" s="2">
        <v>0.2</v>
      </c>
      <c r="U475" s="2">
        <v>87.995999999999995</v>
      </c>
      <c r="V475" t="str">
        <f t="shared" si="35"/>
        <v>Valid</v>
      </c>
      <c r="W475" s="2">
        <v>267.07</v>
      </c>
      <c r="X475" s="2">
        <v>656.2656164</v>
      </c>
      <c r="Y475" s="2" t="str">
        <f t="shared" si="36"/>
        <v>Normal</v>
      </c>
      <c r="Z475">
        <f t="shared" si="37"/>
        <v>2</v>
      </c>
      <c r="AA475">
        <f t="shared" si="38"/>
        <v>0.125</v>
      </c>
      <c r="AB475">
        <f t="shared" si="39"/>
        <v>563.17439999999999</v>
      </c>
    </row>
    <row r="476" spans="1:28"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s="2">
        <v>6</v>
      </c>
      <c r="T476" s="2">
        <v>0</v>
      </c>
      <c r="U476" s="2">
        <v>24.980399999999999</v>
      </c>
      <c r="V476" t="str">
        <f t="shared" si="35"/>
        <v>Valid</v>
      </c>
      <c r="W476" s="2">
        <v>267.07</v>
      </c>
      <c r="X476" s="2">
        <v>656.2656164</v>
      </c>
      <c r="Y476" s="2" t="str">
        <f t="shared" si="36"/>
        <v>Normal</v>
      </c>
      <c r="Z476">
        <f t="shared" si="37"/>
        <v>2</v>
      </c>
      <c r="AA476">
        <f t="shared" si="38"/>
        <v>0.27</v>
      </c>
      <c r="AB476">
        <f t="shared" si="39"/>
        <v>92.52</v>
      </c>
    </row>
    <row r="477" spans="1:28"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s="2">
        <v>7</v>
      </c>
      <c r="T477" s="2">
        <v>0</v>
      </c>
      <c r="U477" s="2">
        <v>28.818999999999999</v>
      </c>
      <c r="V477" t="str">
        <f t="shared" si="35"/>
        <v>Valid</v>
      </c>
      <c r="W477" s="2">
        <v>267.07</v>
      </c>
      <c r="X477" s="2">
        <v>656.2656164</v>
      </c>
      <c r="Y477" s="2" t="str">
        <f t="shared" si="36"/>
        <v>Normal</v>
      </c>
      <c r="Z477">
        <f t="shared" si="37"/>
        <v>2</v>
      </c>
      <c r="AA477">
        <f t="shared" si="38"/>
        <v>0.46</v>
      </c>
      <c r="AB477">
        <f t="shared" si="39"/>
        <v>62.65</v>
      </c>
    </row>
    <row r="478" spans="1:28"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s="2">
        <v>5</v>
      </c>
      <c r="T478" s="2">
        <v>0</v>
      </c>
      <c r="U478" s="2">
        <v>45.527999999999999</v>
      </c>
      <c r="V478" t="str">
        <f t="shared" si="35"/>
        <v>Valid</v>
      </c>
      <c r="W478" s="2">
        <v>267.07</v>
      </c>
      <c r="X478" s="2">
        <v>656.2656164</v>
      </c>
      <c r="Y478" s="2" t="str">
        <f t="shared" si="36"/>
        <v>Normal</v>
      </c>
      <c r="Z478">
        <f t="shared" si="37"/>
        <v>2</v>
      </c>
      <c r="AA478">
        <f t="shared" si="38"/>
        <v>0.48000000000000004</v>
      </c>
      <c r="AB478">
        <f t="shared" si="39"/>
        <v>94.85</v>
      </c>
    </row>
    <row r="479" spans="1:28"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s="2">
        <v>6</v>
      </c>
      <c r="T479" s="2">
        <v>0.2</v>
      </c>
      <c r="U479" s="2">
        <v>7.1820000000000004</v>
      </c>
      <c r="V479" t="str">
        <f t="shared" si="35"/>
        <v>Valid</v>
      </c>
      <c r="W479" s="2">
        <v>267.07</v>
      </c>
      <c r="X479" s="2">
        <v>656.2656164</v>
      </c>
      <c r="Y479" s="2" t="str">
        <f t="shared" si="36"/>
        <v>Normal</v>
      </c>
      <c r="Z479">
        <f t="shared" si="37"/>
        <v>7</v>
      </c>
      <c r="AA479">
        <f t="shared" si="38"/>
        <v>7.4999999999999997E-2</v>
      </c>
      <c r="AB479">
        <f t="shared" si="39"/>
        <v>76.608000000000004</v>
      </c>
    </row>
    <row r="480" spans="1:28"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s="2">
        <v>3</v>
      </c>
      <c r="T480" s="2">
        <v>0</v>
      </c>
      <c r="U480" s="2">
        <v>19.295999999999999</v>
      </c>
      <c r="V480" t="str">
        <f t="shared" si="35"/>
        <v>Valid</v>
      </c>
      <c r="W480" s="2">
        <v>267.07</v>
      </c>
      <c r="X480" s="2">
        <v>656.2656164</v>
      </c>
      <c r="Y480" s="2" t="str">
        <f t="shared" si="36"/>
        <v>Normal</v>
      </c>
      <c r="Z480">
        <f t="shared" si="37"/>
        <v>6</v>
      </c>
      <c r="AA480">
        <f t="shared" si="38"/>
        <v>0.47999999999999993</v>
      </c>
      <c r="AB480">
        <f t="shared" si="39"/>
        <v>40.200000000000003</v>
      </c>
    </row>
    <row r="481" spans="1:28"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s="2">
        <v>5</v>
      </c>
      <c r="T481" s="2">
        <v>0</v>
      </c>
      <c r="U481" s="2">
        <v>6.6150000000000002</v>
      </c>
      <c r="V481" t="str">
        <f t="shared" si="35"/>
        <v>Valid</v>
      </c>
      <c r="W481" s="2">
        <v>267.07</v>
      </c>
      <c r="X481" s="2">
        <v>656.2656164</v>
      </c>
      <c r="Y481" s="2" t="str">
        <f t="shared" si="36"/>
        <v>Normal</v>
      </c>
      <c r="Z481">
        <f t="shared" si="37"/>
        <v>6</v>
      </c>
      <c r="AA481">
        <f t="shared" si="38"/>
        <v>0.45</v>
      </c>
      <c r="AB481">
        <f t="shared" si="39"/>
        <v>14.7</v>
      </c>
    </row>
    <row r="482" spans="1:28"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s="2">
        <v>5</v>
      </c>
      <c r="T482" s="2">
        <v>0</v>
      </c>
      <c r="U482" s="2">
        <v>84.51</v>
      </c>
      <c r="V482" t="str">
        <f t="shared" si="35"/>
        <v>Valid</v>
      </c>
      <c r="W482" s="2">
        <v>267.07</v>
      </c>
      <c r="X482" s="2">
        <v>656.2656164</v>
      </c>
      <c r="Y482" s="2" t="str">
        <f t="shared" si="36"/>
        <v>Normal</v>
      </c>
      <c r="Z482">
        <f t="shared" si="37"/>
        <v>6</v>
      </c>
      <c r="AA482">
        <f t="shared" si="38"/>
        <v>0.12000000000000001</v>
      </c>
      <c r="AB482">
        <f t="shared" si="39"/>
        <v>704.25</v>
      </c>
    </row>
    <row r="483" spans="1:28"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s="2">
        <v>3</v>
      </c>
      <c r="T483" s="2">
        <v>0</v>
      </c>
      <c r="U483" s="2">
        <v>1.9089</v>
      </c>
      <c r="V483" t="str">
        <f t="shared" si="35"/>
        <v>Valid</v>
      </c>
      <c r="W483" s="2">
        <v>267.07</v>
      </c>
      <c r="X483" s="2">
        <v>656.2656164</v>
      </c>
      <c r="Y483" s="2" t="str">
        <f t="shared" si="36"/>
        <v>Normal</v>
      </c>
      <c r="Z483">
        <f t="shared" si="37"/>
        <v>4</v>
      </c>
      <c r="AA483">
        <f t="shared" si="38"/>
        <v>0.21000000000000002</v>
      </c>
      <c r="AB483">
        <f t="shared" si="39"/>
        <v>9.09</v>
      </c>
    </row>
    <row r="484" spans="1:28"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s="2">
        <v>2</v>
      </c>
      <c r="T484" s="2">
        <v>0</v>
      </c>
      <c r="U484" s="2">
        <v>1.6688000000000001</v>
      </c>
      <c r="V484" t="str">
        <f t="shared" si="35"/>
        <v>Valid</v>
      </c>
      <c r="W484" s="2">
        <v>267.07</v>
      </c>
      <c r="X484" s="2">
        <v>656.2656164</v>
      </c>
      <c r="Y484" s="2" t="str">
        <f t="shared" si="36"/>
        <v>Normal</v>
      </c>
      <c r="Z484">
        <f t="shared" si="37"/>
        <v>5</v>
      </c>
      <c r="AA484">
        <f t="shared" si="38"/>
        <v>0.28000000000000003</v>
      </c>
      <c r="AB484">
        <f t="shared" si="39"/>
        <v>5.96</v>
      </c>
    </row>
    <row r="485" spans="1:28"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s="2">
        <v>2</v>
      </c>
      <c r="T485" s="2">
        <v>0</v>
      </c>
      <c r="U485" s="2">
        <v>57.592799999999997</v>
      </c>
      <c r="V485" t="str">
        <f t="shared" si="35"/>
        <v>Valid</v>
      </c>
      <c r="W485" s="2">
        <v>267.07</v>
      </c>
      <c r="X485" s="2">
        <v>656.2656164</v>
      </c>
      <c r="Y485" s="2" t="str">
        <f t="shared" si="36"/>
        <v>Normal</v>
      </c>
      <c r="Z485">
        <f t="shared" si="37"/>
        <v>5</v>
      </c>
      <c r="AA485">
        <f t="shared" si="38"/>
        <v>0.36</v>
      </c>
      <c r="AB485">
        <f t="shared" si="39"/>
        <v>159.97999999999999</v>
      </c>
    </row>
    <row r="486" spans="1:28"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s="2">
        <v>2</v>
      </c>
      <c r="T486" s="2">
        <v>0</v>
      </c>
      <c r="U486" s="2">
        <v>14.8</v>
      </c>
      <c r="V486" t="str">
        <f t="shared" si="35"/>
        <v>Valid</v>
      </c>
      <c r="W486" s="2">
        <v>267.07</v>
      </c>
      <c r="X486" s="2">
        <v>656.2656164</v>
      </c>
      <c r="Y486" s="2" t="str">
        <f t="shared" si="36"/>
        <v>Normal</v>
      </c>
      <c r="Z486">
        <f t="shared" si="37"/>
        <v>3</v>
      </c>
      <c r="AA486">
        <f t="shared" si="38"/>
        <v>0.5</v>
      </c>
      <c r="AB486">
        <f t="shared" si="39"/>
        <v>29.6</v>
      </c>
    </row>
    <row r="487" spans="1:28"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s="2">
        <v>5</v>
      </c>
      <c r="T487" s="2">
        <v>0.15</v>
      </c>
      <c r="U487" s="2">
        <v>-30.245000000000001</v>
      </c>
      <c r="V487" t="str">
        <f t="shared" si="35"/>
        <v>Valid</v>
      </c>
      <c r="W487" s="2">
        <v>267.07</v>
      </c>
      <c r="X487" s="2">
        <v>656.2656164</v>
      </c>
      <c r="Y487" s="2" t="str">
        <f t="shared" si="36"/>
        <v>Normal</v>
      </c>
      <c r="Z487">
        <f t="shared" si="37"/>
        <v>3</v>
      </c>
      <c r="AA487">
        <f t="shared" si="38"/>
        <v>-5.8823529411764712E-2</v>
      </c>
      <c r="AB487">
        <f t="shared" si="39"/>
        <v>437.04024999999996</v>
      </c>
    </row>
    <row r="488" spans="1:28"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s="2">
        <v>5</v>
      </c>
      <c r="T488" s="2">
        <v>0.2</v>
      </c>
      <c r="U488" s="2">
        <v>17.497499999999999</v>
      </c>
      <c r="V488" t="str">
        <f t="shared" si="35"/>
        <v>Valid</v>
      </c>
      <c r="W488" s="2">
        <v>267.07</v>
      </c>
      <c r="X488" s="2">
        <v>656.2656164</v>
      </c>
      <c r="Y488" s="2" t="str">
        <f t="shared" si="36"/>
        <v>Normal</v>
      </c>
      <c r="Z488">
        <f t="shared" si="37"/>
        <v>3</v>
      </c>
      <c r="AA488">
        <f t="shared" si="38"/>
        <v>6.25E-2</v>
      </c>
      <c r="AB488">
        <f t="shared" si="39"/>
        <v>223.96799999999999</v>
      </c>
    </row>
    <row r="489" spans="1:28"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s="2">
        <v>6</v>
      </c>
      <c r="T489" s="2">
        <v>0.2</v>
      </c>
      <c r="U489" s="2">
        <v>341.99400000000003</v>
      </c>
      <c r="V489" t="str">
        <f t="shared" si="35"/>
        <v>Valid</v>
      </c>
      <c r="W489" s="2">
        <v>267.07</v>
      </c>
      <c r="X489" s="2">
        <v>656.2656164</v>
      </c>
      <c r="Y489" s="2" t="str">
        <f t="shared" si="36"/>
        <v>High Outlier</v>
      </c>
      <c r="Z489">
        <f t="shared" si="37"/>
        <v>2</v>
      </c>
      <c r="AA489">
        <f t="shared" si="38"/>
        <v>0.125</v>
      </c>
      <c r="AB489">
        <f t="shared" si="39"/>
        <v>2188.7616000000003</v>
      </c>
    </row>
    <row r="490" spans="1:28"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s="2">
        <v>1</v>
      </c>
      <c r="T490" s="2">
        <v>0.2</v>
      </c>
      <c r="U490" s="2">
        <v>0.59940000000000004</v>
      </c>
      <c r="V490" t="str">
        <f t="shared" si="35"/>
        <v>Valid</v>
      </c>
      <c r="W490" s="2">
        <v>267.07</v>
      </c>
      <c r="X490" s="2">
        <v>656.2656164</v>
      </c>
      <c r="Y490" s="2" t="str">
        <f t="shared" si="36"/>
        <v>Normal</v>
      </c>
      <c r="Z490">
        <f t="shared" si="37"/>
        <v>4</v>
      </c>
      <c r="AA490">
        <f t="shared" si="38"/>
        <v>7.5000000000000011E-2</v>
      </c>
      <c r="AB490">
        <f t="shared" si="39"/>
        <v>6.3936000000000002</v>
      </c>
    </row>
    <row r="491" spans="1:28"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s="2">
        <v>2</v>
      </c>
      <c r="T491" s="2">
        <v>0.2</v>
      </c>
      <c r="U491" s="2">
        <v>10.397399999999999</v>
      </c>
      <c r="V491" t="str">
        <f t="shared" si="35"/>
        <v>Valid</v>
      </c>
      <c r="W491" s="2">
        <v>267.07</v>
      </c>
      <c r="X491" s="2">
        <v>656.2656164</v>
      </c>
      <c r="Y491" s="2" t="str">
        <f t="shared" si="36"/>
        <v>Normal</v>
      </c>
      <c r="Z491">
        <f t="shared" si="37"/>
        <v>4</v>
      </c>
      <c r="AA491">
        <f t="shared" si="38"/>
        <v>0.16249999999999998</v>
      </c>
      <c r="AB491">
        <f t="shared" si="39"/>
        <v>51.187200000000004</v>
      </c>
    </row>
    <row r="492" spans="1:28"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s="2">
        <v>2</v>
      </c>
      <c r="T492" s="2">
        <v>0.2</v>
      </c>
      <c r="U492" s="2">
        <v>6.1571999999999996</v>
      </c>
      <c r="V492" t="str">
        <f t="shared" si="35"/>
        <v>Valid</v>
      </c>
      <c r="W492" s="2">
        <v>267.07</v>
      </c>
      <c r="X492" s="2">
        <v>656.2656164</v>
      </c>
      <c r="Y492" s="2" t="str">
        <f t="shared" si="36"/>
        <v>Normal</v>
      </c>
      <c r="Z492">
        <f t="shared" si="37"/>
        <v>4</v>
      </c>
      <c r="AA492">
        <f t="shared" si="38"/>
        <v>8.7499999999999994E-2</v>
      </c>
      <c r="AB492">
        <f t="shared" si="39"/>
        <v>56.294399999999996</v>
      </c>
    </row>
    <row r="493" spans="1:28"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s="2">
        <v>5</v>
      </c>
      <c r="T493" s="2">
        <v>0</v>
      </c>
      <c r="U493" s="2">
        <v>8.9830000000000005</v>
      </c>
      <c r="V493" t="str">
        <f t="shared" si="35"/>
        <v>Valid</v>
      </c>
      <c r="W493" s="2">
        <v>267.07</v>
      </c>
      <c r="X493" s="2">
        <v>656.2656164</v>
      </c>
      <c r="Y493" s="2" t="str">
        <f t="shared" si="36"/>
        <v>Normal</v>
      </c>
      <c r="Z493">
        <f t="shared" si="37"/>
        <v>5</v>
      </c>
      <c r="AA493">
        <f t="shared" si="38"/>
        <v>2.0000000000000004E-2</v>
      </c>
      <c r="AB493">
        <f t="shared" si="39"/>
        <v>449.15</v>
      </c>
    </row>
    <row r="494" spans="1:28"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s="2">
        <v>3</v>
      </c>
      <c r="T494" s="2">
        <v>0</v>
      </c>
      <c r="U494" s="2">
        <v>5.0922000000000001</v>
      </c>
      <c r="V494" t="str">
        <f t="shared" si="35"/>
        <v>Valid</v>
      </c>
      <c r="W494" s="2">
        <v>267.07</v>
      </c>
      <c r="X494" s="2">
        <v>656.2656164</v>
      </c>
      <c r="Y494" s="2" t="str">
        <f t="shared" si="36"/>
        <v>Normal</v>
      </c>
      <c r="Z494">
        <f t="shared" si="37"/>
        <v>5</v>
      </c>
      <c r="AA494">
        <f t="shared" si="38"/>
        <v>0.46</v>
      </c>
      <c r="AB494">
        <f t="shared" si="39"/>
        <v>11.07</v>
      </c>
    </row>
    <row r="495" spans="1:28"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s="2">
        <v>2</v>
      </c>
      <c r="T495" s="2">
        <v>0</v>
      </c>
      <c r="U495" s="2">
        <v>13.1572</v>
      </c>
      <c r="V495" t="str">
        <f t="shared" si="35"/>
        <v>Valid</v>
      </c>
      <c r="W495" s="2">
        <v>267.07</v>
      </c>
      <c r="X495" s="2">
        <v>656.2656164</v>
      </c>
      <c r="Y495" s="2" t="str">
        <f t="shared" si="36"/>
        <v>Normal</v>
      </c>
      <c r="Z495">
        <f t="shared" si="37"/>
        <v>5</v>
      </c>
      <c r="AA495">
        <f t="shared" si="38"/>
        <v>0.13999999999999999</v>
      </c>
      <c r="AB495">
        <f t="shared" si="39"/>
        <v>93.98</v>
      </c>
    </row>
    <row r="496" spans="1:28"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s="2">
        <v>3</v>
      </c>
      <c r="T496" s="2">
        <v>0.4</v>
      </c>
      <c r="U496" s="2">
        <v>-94.941000000000003</v>
      </c>
      <c r="V496" t="str">
        <f t="shared" si="35"/>
        <v>Valid</v>
      </c>
      <c r="W496" s="2">
        <v>267.07</v>
      </c>
      <c r="X496" s="2">
        <v>656.2656164</v>
      </c>
      <c r="Y496" s="2" t="str">
        <f t="shared" si="36"/>
        <v>Normal</v>
      </c>
      <c r="Z496">
        <f t="shared" si="37"/>
        <v>3</v>
      </c>
      <c r="AA496">
        <f t="shared" si="38"/>
        <v>-0.5</v>
      </c>
      <c r="AB496">
        <f t="shared" si="39"/>
        <v>113.92919999999999</v>
      </c>
    </row>
    <row r="497" spans="1:28"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s="2">
        <v>2</v>
      </c>
      <c r="T497" s="2">
        <v>0</v>
      </c>
      <c r="U497" s="2">
        <v>51.655799999999999</v>
      </c>
      <c r="V497" t="str">
        <f t="shared" si="35"/>
        <v>Valid</v>
      </c>
      <c r="W497" s="2">
        <v>267.07</v>
      </c>
      <c r="X497" s="2">
        <v>656.2656164</v>
      </c>
      <c r="Y497" s="2" t="str">
        <f t="shared" si="36"/>
        <v>Normal</v>
      </c>
      <c r="Z497">
        <f t="shared" si="37"/>
        <v>4</v>
      </c>
      <c r="AA497">
        <f t="shared" si="38"/>
        <v>0.49</v>
      </c>
      <c r="AB497">
        <f t="shared" si="39"/>
        <v>105.42</v>
      </c>
    </row>
    <row r="498" spans="1:28"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s="2">
        <v>8</v>
      </c>
      <c r="T498" s="2">
        <v>0.2</v>
      </c>
      <c r="U498" s="2">
        <v>40.370399999999997</v>
      </c>
      <c r="V498" t="str">
        <f t="shared" si="35"/>
        <v>Valid</v>
      </c>
      <c r="W498" s="2">
        <v>267.07</v>
      </c>
      <c r="X498" s="2">
        <v>656.2656164</v>
      </c>
      <c r="Y498" s="2" t="str">
        <f t="shared" si="36"/>
        <v>Normal</v>
      </c>
      <c r="Z498">
        <f t="shared" si="37"/>
        <v>6</v>
      </c>
      <c r="AA498">
        <f t="shared" si="38"/>
        <v>0.33749999999999997</v>
      </c>
      <c r="AB498">
        <f t="shared" si="39"/>
        <v>95.692800000000005</v>
      </c>
    </row>
    <row r="499" spans="1:28"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s="2">
        <v>4</v>
      </c>
      <c r="T499" s="2">
        <v>0</v>
      </c>
      <c r="U499" s="2">
        <v>81.843199999999996</v>
      </c>
      <c r="V499" t="str">
        <f t="shared" si="35"/>
        <v>Valid</v>
      </c>
      <c r="W499" s="2">
        <v>267.07</v>
      </c>
      <c r="X499" s="2">
        <v>656.2656164</v>
      </c>
      <c r="Y499" s="2" t="str">
        <f t="shared" si="36"/>
        <v>Normal</v>
      </c>
      <c r="Z499">
        <f t="shared" si="37"/>
        <v>6</v>
      </c>
      <c r="AA499">
        <f t="shared" si="38"/>
        <v>0.32</v>
      </c>
      <c r="AB499">
        <f t="shared" si="39"/>
        <v>255.76</v>
      </c>
    </row>
    <row r="500" spans="1:28"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s="2">
        <v>2</v>
      </c>
      <c r="T500" s="2">
        <v>0.2</v>
      </c>
      <c r="U500" s="2">
        <v>18.117599999999999</v>
      </c>
      <c r="V500" t="str">
        <f t="shared" si="35"/>
        <v>Valid</v>
      </c>
      <c r="W500" s="2">
        <v>267.07</v>
      </c>
      <c r="X500" s="2">
        <v>656.2656164</v>
      </c>
      <c r="Y500" s="2" t="str">
        <f t="shared" si="36"/>
        <v>Normal</v>
      </c>
      <c r="Z500">
        <f t="shared" si="37"/>
        <v>6</v>
      </c>
      <c r="AA500">
        <f t="shared" si="38"/>
        <v>7.4999999999999997E-2</v>
      </c>
      <c r="AB500">
        <f t="shared" si="39"/>
        <v>193.25440000000003</v>
      </c>
    </row>
    <row r="501" spans="1:28"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s="2">
        <v>9</v>
      </c>
      <c r="T501" s="2">
        <v>0</v>
      </c>
      <c r="U501" s="2">
        <v>22.869</v>
      </c>
      <c r="V501" t="str">
        <f t="shared" si="35"/>
        <v>Valid</v>
      </c>
      <c r="W501" s="2">
        <v>267.07</v>
      </c>
      <c r="X501" s="2">
        <v>656.2656164</v>
      </c>
      <c r="Y501" s="2" t="str">
        <f t="shared" si="36"/>
        <v>Normal</v>
      </c>
      <c r="Z501">
        <f t="shared" si="37"/>
        <v>6</v>
      </c>
      <c r="AA501">
        <f t="shared" si="38"/>
        <v>0.33</v>
      </c>
      <c r="AB501">
        <f t="shared" si="39"/>
        <v>69.3</v>
      </c>
    </row>
    <row r="502" spans="1:28"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s="2">
        <v>2</v>
      </c>
      <c r="T502" s="2">
        <v>0.7</v>
      </c>
      <c r="U502" s="2">
        <v>-15.08</v>
      </c>
      <c r="V502" t="str">
        <f t="shared" si="35"/>
        <v>Valid</v>
      </c>
      <c r="W502" s="2">
        <v>267.07</v>
      </c>
      <c r="X502" s="2">
        <v>656.2656164</v>
      </c>
      <c r="Y502" s="2" t="str">
        <f t="shared" si="36"/>
        <v>Normal</v>
      </c>
      <c r="Z502">
        <f t="shared" si="37"/>
        <v>5</v>
      </c>
      <c r="AA502">
        <f t="shared" si="38"/>
        <v>-0.66666666666666663</v>
      </c>
      <c r="AB502">
        <f t="shared" si="39"/>
        <v>6.7860000000000014</v>
      </c>
    </row>
    <row r="503" spans="1:28"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s="2">
        <v>2</v>
      </c>
      <c r="T503" s="2">
        <v>0.7</v>
      </c>
      <c r="U503" s="2">
        <v>-11.961600000000001</v>
      </c>
      <c r="V503" t="str">
        <f t="shared" si="35"/>
        <v>Valid</v>
      </c>
      <c r="W503" s="2">
        <v>267.07</v>
      </c>
      <c r="X503" s="2">
        <v>656.2656164</v>
      </c>
      <c r="Y503" s="2" t="str">
        <f t="shared" si="36"/>
        <v>Normal</v>
      </c>
      <c r="Z503">
        <f t="shared" si="37"/>
        <v>5</v>
      </c>
      <c r="AA503">
        <f t="shared" si="38"/>
        <v>-0.8</v>
      </c>
      <c r="AB503">
        <f t="shared" si="39"/>
        <v>4.4856000000000007</v>
      </c>
    </row>
    <row r="504" spans="1:28"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s="2">
        <v>2</v>
      </c>
      <c r="T504" s="2">
        <v>0.2</v>
      </c>
      <c r="U504" s="2">
        <v>50.097999999999999</v>
      </c>
      <c r="V504" t="str">
        <f t="shared" si="35"/>
        <v>Valid</v>
      </c>
      <c r="W504" s="2">
        <v>267.07</v>
      </c>
      <c r="X504" s="2">
        <v>656.2656164</v>
      </c>
      <c r="Y504" s="2" t="str">
        <f t="shared" si="36"/>
        <v>Normal</v>
      </c>
      <c r="Z504">
        <f t="shared" si="37"/>
        <v>5</v>
      </c>
      <c r="AA504">
        <f t="shared" si="38"/>
        <v>6.25E-2</v>
      </c>
      <c r="AB504">
        <f t="shared" si="39"/>
        <v>641.25440000000003</v>
      </c>
    </row>
    <row r="505" spans="1:28"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s="2">
        <v>3</v>
      </c>
      <c r="T505" s="2">
        <v>0.7</v>
      </c>
      <c r="U505" s="2">
        <v>-1.9008</v>
      </c>
      <c r="V505" t="str">
        <f t="shared" si="35"/>
        <v>Valid</v>
      </c>
      <c r="W505" s="2">
        <v>267.07</v>
      </c>
      <c r="X505" s="2">
        <v>656.2656164</v>
      </c>
      <c r="Y505" s="2" t="str">
        <f t="shared" si="36"/>
        <v>Normal</v>
      </c>
      <c r="Z505">
        <f t="shared" si="37"/>
        <v>5</v>
      </c>
      <c r="AA505">
        <f t="shared" si="38"/>
        <v>-0.8</v>
      </c>
      <c r="AB505">
        <f t="shared" si="39"/>
        <v>0.7128000000000001</v>
      </c>
    </row>
    <row r="506" spans="1:28"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s="2">
        <v>1</v>
      </c>
      <c r="T506" s="2">
        <v>0.2</v>
      </c>
      <c r="U506" s="2">
        <v>11.8871</v>
      </c>
      <c r="V506" t="str">
        <f t="shared" si="35"/>
        <v>Valid</v>
      </c>
      <c r="W506" s="2">
        <v>267.07</v>
      </c>
      <c r="X506" s="2">
        <v>656.2656164</v>
      </c>
      <c r="Y506" s="2" t="str">
        <f t="shared" si="36"/>
        <v>Normal</v>
      </c>
      <c r="Z506">
        <f t="shared" si="37"/>
        <v>5</v>
      </c>
      <c r="AA506">
        <f t="shared" si="38"/>
        <v>0.36249999999999999</v>
      </c>
      <c r="AB506">
        <f t="shared" si="39"/>
        <v>26.233600000000003</v>
      </c>
    </row>
    <row r="507" spans="1:28"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s="2">
        <v>5</v>
      </c>
      <c r="T507" s="2">
        <v>0.2</v>
      </c>
      <c r="U507" s="2">
        <v>5.3730000000000002</v>
      </c>
      <c r="V507" t="str">
        <f t="shared" si="35"/>
        <v>Valid</v>
      </c>
      <c r="W507" s="2">
        <v>267.07</v>
      </c>
      <c r="X507" s="2">
        <v>656.2656164</v>
      </c>
      <c r="Y507" s="2" t="str">
        <f t="shared" si="36"/>
        <v>Normal</v>
      </c>
      <c r="Z507">
        <f t="shared" si="37"/>
        <v>3</v>
      </c>
      <c r="AA507">
        <f t="shared" si="38"/>
        <v>0.33750000000000002</v>
      </c>
      <c r="AB507">
        <f t="shared" si="39"/>
        <v>12.736000000000001</v>
      </c>
    </row>
    <row r="508" spans="1:28"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s="2">
        <v>1</v>
      </c>
      <c r="T508" s="2">
        <v>0</v>
      </c>
      <c r="U508" s="2">
        <v>0.73980000000000001</v>
      </c>
      <c r="V508" t="str">
        <f t="shared" si="35"/>
        <v>Valid</v>
      </c>
      <c r="W508" s="2">
        <v>267.07</v>
      </c>
      <c r="X508" s="2">
        <v>656.2656164</v>
      </c>
      <c r="Y508" s="2" t="str">
        <f t="shared" si="36"/>
        <v>Normal</v>
      </c>
      <c r="Z508">
        <f t="shared" si="37"/>
        <v>6</v>
      </c>
      <c r="AA508">
        <f t="shared" si="38"/>
        <v>0.26999999999999996</v>
      </c>
      <c r="AB508">
        <f t="shared" si="39"/>
        <v>2.74</v>
      </c>
    </row>
    <row r="509" spans="1:28"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s="2">
        <v>3</v>
      </c>
      <c r="T509" s="2">
        <v>0</v>
      </c>
      <c r="U509" s="2">
        <v>2.1684000000000001</v>
      </c>
      <c r="V509" t="str">
        <f t="shared" si="35"/>
        <v>Valid</v>
      </c>
      <c r="W509" s="2">
        <v>267.07</v>
      </c>
      <c r="X509" s="2">
        <v>656.2656164</v>
      </c>
      <c r="Y509" s="2" t="str">
        <f t="shared" si="36"/>
        <v>Normal</v>
      </c>
      <c r="Z509">
        <f t="shared" si="37"/>
        <v>6</v>
      </c>
      <c r="AA509">
        <f t="shared" si="38"/>
        <v>0.26</v>
      </c>
      <c r="AB509">
        <f t="shared" si="39"/>
        <v>8.34</v>
      </c>
    </row>
    <row r="510" spans="1:28"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s="2">
        <v>3</v>
      </c>
      <c r="T510" s="2">
        <v>0</v>
      </c>
      <c r="U510" s="2">
        <v>11.685</v>
      </c>
      <c r="V510" t="str">
        <f t="shared" si="35"/>
        <v>Valid</v>
      </c>
      <c r="W510" s="2">
        <v>267.07</v>
      </c>
      <c r="X510" s="2">
        <v>656.2656164</v>
      </c>
      <c r="Y510" s="2" t="str">
        <f t="shared" si="36"/>
        <v>Normal</v>
      </c>
      <c r="Z510">
        <f t="shared" si="37"/>
        <v>6</v>
      </c>
      <c r="AA510">
        <f t="shared" si="38"/>
        <v>0.25</v>
      </c>
      <c r="AB510">
        <f t="shared" si="39"/>
        <v>46.74</v>
      </c>
    </row>
    <row r="511" spans="1:28"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s="2">
        <v>5</v>
      </c>
      <c r="T511" s="2">
        <v>0</v>
      </c>
      <c r="U511" s="2">
        <v>3177.4749999999999</v>
      </c>
      <c r="V511" t="str">
        <f t="shared" si="35"/>
        <v>Valid</v>
      </c>
      <c r="W511" s="2">
        <v>267.07</v>
      </c>
      <c r="X511" s="2">
        <v>656.2656164</v>
      </c>
      <c r="Y511" s="2" t="str">
        <f t="shared" si="36"/>
        <v>High Outlier</v>
      </c>
      <c r="Z511">
        <f t="shared" si="37"/>
        <v>6</v>
      </c>
      <c r="AA511">
        <f t="shared" si="38"/>
        <v>0.5</v>
      </c>
      <c r="AB511">
        <f t="shared" si="39"/>
        <v>6354.95</v>
      </c>
    </row>
    <row r="512" spans="1:28"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s="2">
        <v>3</v>
      </c>
      <c r="T512" s="2">
        <v>0</v>
      </c>
      <c r="U512" s="2">
        <v>40.415999999999997</v>
      </c>
      <c r="V512" t="str">
        <f t="shared" si="35"/>
        <v>Valid</v>
      </c>
      <c r="W512" s="2">
        <v>267.07</v>
      </c>
      <c r="X512" s="2">
        <v>656.2656164</v>
      </c>
      <c r="Y512" s="2" t="str">
        <f t="shared" si="36"/>
        <v>Normal</v>
      </c>
      <c r="Z512">
        <f t="shared" si="37"/>
        <v>1</v>
      </c>
      <c r="AA512">
        <f t="shared" si="38"/>
        <v>0.32</v>
      </c>
      <c r="AB512">
        <f t="shared" si="39"/>
        <v>126.3</v>
      </c>
    </row>
    <row r="513" spans="1:28"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s="2">
        <v>2</v>
      </c>
      <c r="T513" s="2">
        <v>0</v>
      </c>
      <c r="U513" s="2">
        <v>12.172800000000001</v>
      </c>
      <c r="V513" t="str">
        <f t="shared" si="35"/>
        <v>Valid</v>
      </c>
      <c r="W513" s="2">
        <v>267.07</v>
      </c>
      <c r="X513" s="2">
        <v>656.2656164</v>
      </c>
      <c r="Y513" s="2" t="str">
        <f t="shared" si="36"/>
        <v>Normal</v>
      </c>
      <c r="Z513">
        <f t="shared" si="37"/>
        <v>1</v>
      </c>
      <c r="AA513">
        <f t="shared" si="38"/>
        <v>0.32</v>
      </c>
      <c r="AB513">
        <f t="shared" si="39"/>
        <v>38.04</v>
      </c>
    </row>
    <row r="514" spans="1:28"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s="2">
        <v>3</v>
      </c>
      <c r="T514" s="2">
        <v>0.2</v>
      </c>
      <c r="U514" s="2">
        <v>0.71519999999999995</v>
      </c>
      <c r="V514" t="str">
        <f t="shared" si="35"/>
        <v>Valid</v>
      </c>
      <c r="W514" s="2">
        <v>267.07</v>
      </c>
      <c r="X514" s="2">
        <v>656.2656164</v>
      </c>
      <c r="Y514" s="2" t="str">
        <f t="shared" si="36"/>
        <v>Normal</v>
      </c>
      <c r="Z514">
        <f t="shared" si="37"/>
        <v>3</v>
      </c>
      <c r="AA514">
        <f t="shared" si="38"/>
        <v>9.9999999999999992E-2</v>
      </c>
      <c r="AB514">
        <f t="shared" si="39"/>
        <v>5.7216000000000005</v>
      </c>
    </row>
    <row r="515" spans="1:28"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s="2">
        <v>3</v>
      </c>
      <c r="T515" s="2">
        <v>0</v>
      </c>
      <c r="U515" s="2">
        <v>1.7901</v>
      </c>
      <c r="V515" t="str">
        <f t="shared" ref="V515:V551" si="40">IF(D515&gt;=C515, "Valid", "Error")</f>
        <v>Valid</v>
      </c>
      <c r="W515" s="2">
        <v>267.07</v>
      </c>
      <c r="X515" s="2">
        <v>656.2656164</v>
      </c>
      <c r="Y515" s="2" t="str">
        <f t="shared" ref="Y515:Y551" si="41">IF(R515 &gt;(W515 + 3*X515), "High Outlier",  "Normal")</f>
        <v>Normal</v>
      </c>
      <c r="Z515">
        <f t="shared" ref="Z515:Z551" si="42">_xlfn.DAYS(D515,C515)</f>
        <v>4</v>
      </c>
      <c r="AA515">
        <f t="shared" ref="AA515:AA551" si="43">U515/R515</f>
        <v>0.27</v>
      </c>
      <c r="AB515">
        <f t="shared" ref="AB515:AB551" si="44">R515*(1-T515)</f>
        <v>6.63</v>
      </c>
    </row>
    <row r="516" spans="1:28"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s="2">
        <v>2</v>
      </c>
      <c r="T516" s="2">
        <v>0</v>
      </c>
      <c r="U516" s="2">
        <v>1.7052</v>
      </c>
      <c r="V516" t="str">
        <f t="shared" si="40"/>
        <v>Valid</v>
      </c>
      <c r="W516" s="2">
        <v>267.07</v>
      </c>
      <c r="X516" s="2">
        <v>656.2656164</v>
      </c>
      <c r="Y516" s="2" t="str">
        <f t="shared" si="41"/>
        <v>Normal</v>
      </c>
      <c r="Z516">
        <f t="shared" si="42"/>
        <v>4</v>
      </c>
      <c r="AA516">
        <f t="shared" si="43"/>
        <v>0.29000000000000004</v>
      </c>
      <c r="AB516">
        <f t="shared" si="44"/>
        <v>5.88</v>
      </c>
    </row>
    <row r="517" spans="1:28"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s="2">
        <v>5</v>
      </c>
      <c r="T517" s="2">
        <v>0</v>
      </c>
      <c r="U517" s="2">
        <v>1379.9770000000001</v>
      </c>
      <c r="V517" t="str">
        <f t="shared" si="40"/>
        <v>Valid</v>
      </c>
      <c r="W517" s="2">
        <v>267.07</v>
      </c>
      <c r="X517" s="2">
        <v>656.2656164</v>
      </c>
      <c r="Y517" s="2" t="str">
        <f t="shared" si="41"/>
        <v>High Outlier</v>
      </c>
      <c r="Z517">
        <f t="shared" si="42"/>
        <v>5</v>
      </c>
      <c r="AA517">
        <f t="shared" si="43"/>
        <v>0.46000000000000008</v>
      </c>
      <c r="AB517">
        <f t="shared" si="44"/>
        <v>2999.95</v>
      </c>
    </row>
    <row r="518" spans="1:28"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s="2">
        <v>3</v>
      </c>
      <c r="T518" s="2">
        <v>0</v>
      </c>
      <c r="U518" s="2">
        <v>13.891500000000001</v>
      </c>
      <c r="V518" t="str">
        <f t="shared" si="40"/>
        <v>Valid</v>
      </c>
      <c r="W518" s="2">
        <v>267.07</v>
      </c>
      <c r="X518" s="2">
        <v>656.2656164</v>
      </c>
      <c r="Y518" s="2" t="str">
        <f t="shared" si="41"/>
        <v>Normal</v>
      </c>
      <c r="Z518">
        <f t="shared" si="42"/>
        <v>5</v>
      </c>
      <c r="AA518">
        <f t="shared" si="43"/>
        <v>0.27</v>
      </c>
      <c r="AB518">
        <f t="shared" si="44"/>
        <v>51.45</v>
      </c>
    </row>
    <row r="519" spans="1:28"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s="2">
        <v>2</v>
      </c>
      <c r="T519" s="2">
        <v>0</v>
      </c>
      <c r="U519" s="2">
        <v>5.3819999999999997</v>
      </c>
      <c r="V519" t="str">
        <f t="shared" si="40"/>
        <v>Valid</v>
      </c>
      <c r="W519" s="2">
        <v>267.07</v>
      </c>
      <c r="X519" s="2">
        <v>656.2656164</v>
      </c>
      <c r="Y519" s="2" t="str">
        <f t="shared" si="41"/>
        <v>Normal</v>
      </c>
      <c r="Z519">
        <f t="shared" si="42"/>
        <v>5</v>
      </c>
      <c r="AA519">
        <f t="shared" si="43"/>
        <v>0.44999999999999996</v>
      </c>
      <c r="AB519">
        <f t="shared" si="44"/>
        <v>11.96</v>
      </c>
    </row>
    <row r="520" spans="1:28"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s="2">
        <v>3</v>
      </c>
      <c r="T520" s="2">
        <v>0</v>
      </c>
      <c r="U520" s="2">
        <v>56.301000000000002</v>
      </c>
      <c r="V520" t="str">
        <f t="shared" si="40"/>
        <v>Valid</v>
      </c>
      <c r="W520" s="2">
        <v>267.07</v>
      </c>
      <c r="X520" s="2">
        <v>656.2656164</v>
      </c>
      <c r="Y520" s="2" t="str">
        <f t="shared" si="41"/>
        <v>Normal</v>
      </c>
      <c r="Z520">
        <f t="shared" si="42"/>
        <v>5</v>
      </c>
      <c r="AA520">
        <f t="shared" si="43"/>
        <v>0.05</v>
      </c>
      <c r="AB520">
        <f t="shared" si="44"/>
        <v>1126.02</v>
      </c>
    </row>
    <row r="521" spans="1:28"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s="2">
        <v>1</v>
      </c>
      <c r="T521" s="2">
        <v>0.2</v>
      </c>
      <c r="U521" s="2">
        <v>5.2877000000000001</v>
      </c>
      <c r="V521" t="str">
        <f t="shared" si="40"/>
        <v>Valid</v>
      </c>
      <c r="W521" s="2">
        <v>267.07</v>
      </c>
      <c r="X521" s="2">
        <v>656.2656164</v>
      </c>
      <c r="Y521" s="2" t="str">
        <f t="shared" si="41"/>
        <v>Normal</v>
      </c>
      <c r="Z521">
        <f t="shared" si="42"/>
        <v>4</v>
      </c>
      <c r="AA521">
        <f t="shared" si="43"/>
        <v>0.28750000000000003</v>
      </c>
      <c r="AB521">
        <f t="shared" si="44"/>
        <v>14.7136</v>
      </c>
    </row>
    <row r="522" spans="1:28"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s="2">
        <v>2</v>
      </c>
      <c r="T522" s="2">
        <v>0.2</v>
      </c>
      <c r="U522" s="2">
        <v>-25.913599999999999</v>
      </c>
      <c r="V522" t="str">
        <f t="shared" si="40"/>
        <v>Valid</v>
      </c>
      <c r="W522" s="2">
        <v>267.07</v>
      </c>
      <c r="X522" s="2">
        <v>656.2656164</v>
      </c>
      <c r="Y522" s="2" t="str">
        <f t="shared" si="41"/>
        <v>Normal</v>
      </c>
      <c r="Z522">
        <f t="shared" si="42"/>
        <v>4</v>
      </c>
      <c r="AA522">
        <f t="shared" si="43"/>
        <v>-0.19999999999999998</v>
      </c>
      <c r="AB522">
        <f t="shared" si="44"/>
        <v>103.65440000000001</v>
      </c>
    </row>
    <row r="523" spans="1:28"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s="2">
        <v>9</v>
      </c>
      <c r="T523" s="2">
        <v>0.8</v>
      </c>
      <c r="U523" s="2">
        <v>-21.167999999999999</v>
      </c>
      <c r="V523" t="str">
        <f t="shared" si="40"/>
        <v>Valid</v>
      </c>
      <c r="W523" s="2">
        <v>267.07</v>
      </c>
      <c r="X523" s="2">
        <v>656.2656164</v>
      </c>
      <c r="Y523" s="2" t="str">
        <f t="shared" si="41"/>
        <v>Normal</v>
      </c>
      <c r="Z523">
        <f t="shared" si="42"/>
        <v>4</v>
      </c>
      <c r="AA523">
        <f t="shared" si="43"/>
        <v>-1.5</v>
      </c>
      <c r="AB523">
        <f t="shared" si="44"/>
        <v>2.8223999999999996</v>
      </c>
    </row>
    <row r="524" spans="1:28"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s="2">
        <v>2</v>
      </c>
      <c r="T524" s="2">
        <v>0</v>
      </c>
      <c r="U524" s="2">
        <v>21.097999999999999</v>
      </c>
      <c r="V524" t="str">
        <f t="shared" si="40"/>
        <v>Valid</v>
      </c>
      <c r="W524" s="2">
        <v>267.07</v>
      </c>
      <c r="X524" s="2">
        <v>656.2656164</v>
      </c>
      <c r="Y524" s="2" t="str">
        <f t="shared" si="41"/>
        <v>Normal</v>
      </c>
      <c r="Z524">
        <f t="shared" si="42"/>
        <v>2</v>
      </c>
      <c r="AA524">
        <f t="shared" si="43"/>
        <v>0.1</v>
      </c>
      <c r="AB524">
        <f t="shared" si="44"/>
        <v>210.98</v>
      </c>
    </row>
    <row r="525" spans="1:28"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s="2">
        <v>3</v>
      </c>
      <c r="T525" s="2">
        <v>0.2</v>
      </c>
      <c r="U525" s="2">
        <v>-12.4146</v>
      </c>
      <c r="V525" t="str">
        <f t="shared" si="40"/>
        <v>Valid</v>
      </c>
      <c r="W525" s="2">
        <v>267.07</v>
      </c>
      <c r="X525" s="2">
        <v>656.2656164</v>
      </c>
      <c r="Y525" s="2" t="str">
        <f t="shared" si="41"/>
        <v>Normal</v>
      </c>
      <c r="Z525">
        <f t="shared" si="42"/>
        <v>2</v>
      </c>
      <c r="AA525">
        <f t="shared" si="43"/>
        <v>-0.22500000000000001</v>
      </c>
      <c r="AB525">
        <f t="shared" si="44"/>
        <v>44.140800000000006</v>
      </c>
    </row>
    <row r="526" spans="1:28"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s="2">
        <v>2</v>
      </c>
      <c r="T526" s="2">
        <v>0</v>
      </c>
      <c r="U526" s="2">
        <v>27.166599999999999</v>
      </c>
      <c r="V526" t="str">
        <f t="shared" si="40"/>
        <v>Valid</v>
      </c>
      <c r="W526" s="2">
        <v>267.07</v>
      </c>
      <c r="X526" s="2">
        <v>656.2656164</v>
      </c>
      <c r="Y526" s="2" t="str">
        <f t="shared" si="41"/>
        <v>Normal</v>
      </c>
      <c r="Z526">
        <f t="shared" si="42"/>
        <v>2</v>
      </c>
      <c r="AA526">
        <f t="shared" si="43"/>
        <v>0.41</v>
      </c>
      <c r="AB526">
        <f t="shared" si="44"/>
        <v>66.260000000000005</v>
      </c>
    </row>
    <row r="527" spans="1:28"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s="2">
        <v>5</v>
      </c>
      <c r="T527" s="2">
        <v>0</v>
      </c>
      <c r="U527" s="2">
        <v>10.433999999999999</v>
      </c>
      <c r="V527" t="str">
        <f t="shared" si="40"/>
        <v>Valid</v>
      </c>
      <c r="W527" s="2">
        <v>267.07</v>
      </c>
      <c r="X527" s="2">
        <v>656.2656164</v>
      </c>
      <c r="Y527" s="2" t="str">
        <f t="shared" si="41"/>
        <v>Normal</v>
      </c>
      <c r="Z527">
        <f t="shared" si="42"/>
        <v>7</v>
      </c>
      <c r="AA527">
        <f t="shared" si="43"/>
        <v>0.47</v>
      </c>
      <c r="AB527">
        <f t="shared" si="44"/>
        <v>22.2</v>
      </c>
    </row>
    <row r="528" spans="1:28"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s="2">
        <v>3</v>
      </c>
      <c r="T528" s="2">
        <v>0.2</v>
      </c>
      <c r="U528" s="2">
        <v>42.747</v>
      </c>
      <c r="V528" t="str">
        <f t="shared" si="40"/>
        <v>Valid</v>
      </c>
      <c r="W528" s="2">
        <v>267.07</v>
      </c>
      <c r="X528" s="2">
        <v>656.2656164</v>
      </c>
      <c r="Y528" s="2" t="str">
        <f t="shared" si="41"/>
        <v>Normal</v>
      </c>
      <c r="Z528">
        <f t="shared" si="42"/>
        <v>5</v>
      </c>
      <c r="AA528">
        <f t="shared" si="43"/>
        <v>6.25E-2</v>
      </c>
      <c r="AB528">
        <f t="shared" si="44"/>
        <v>547.16160000000002</v>
      </c>
    </row>
    <row r="529" spans="1:28"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s="2">
        <v>3</v>
      </c>
      <c r="T529" s="2">
        <v>0.2</v>
      </c>
      <c r="U529" s="2">
        <v>5.1407999999999996</v>
      </c>
      <c r="V529" t="str">
        <f t="shared" si="40"/>
        <v>Valid</v>
      </c>
      <c r="W529" s="2">
        <v>267.07</v>
      </c>
      <c r="X529" s="2">
        <v>656.2656164</v>
      </c>
      <c r="Y529" s="2" t="str">
        <f t="shared" si="41"/>
        <v>Normal</v>
      </c>
      <c r="Z529">
        <f t="shared" si="42"/>
        <v>5</v>
      </c>
      <c r="AA529">
        <f t="shared" si="43"/>
        <v>0.1125</v>
      </c>
      <c r="AB529">
        <f t="shared" si="44"/>
        <v>36.556800000000003</v>
      </c>
    </row>
    <row r="530" spans="1:28"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s="2">
        <v>3</v>
      </c>
      <c r="T530" s="2">
        <v>0.2</v>
      </c>
      <c r="U530" s="2">
        <v>-7.2671999999999999</v>
      </c>
      <c r="V530" t="str">
        <f t="shared" si="40"/>
        <v>Valid</v>
      </c>
      <c r="W530" s="2">
        <v>267.07</v>
      </c>
      <c r="X530" s="2">
        <v>656.2656164</v>
      </c>
      <c r="Y530" s="2" t="str">
        <f t="shared" si="41"/>
        <v>Normal</v>
      </c>
      <c r="Z530">
        <f t="shared" si="42"/>
        <v>4</v>
      </c>
      <c r="AA530">
        <f t="shared" si="43"/>
        <v>-0.2</v>
      </c>
      <c r="AB530">
        <f t="shared" si="44"/>
        <v>29.0688</v>
      </c>
    </row>
    <row r="531" spans="1:28"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s="2">
        <v>1</v>
      </c>
      <c r="T531" s="2">
        <v>0.2</v>
      </c>
      <c r="U531" s="2">
        <v>-149.9058</v>
      </c>
      <c r="V531" t="str">
        <f t="shared" si="40"/>
        <v>Valid</v>
      </c>
      <c r="W531" s="2">
        <v>267.07</v>
      </c>
      <c r="X531" s="2">
        <v>656.2656164</v>
      </c>
      <c r="Y531" s="2" t="str">
        <f t="shared" si="41"/>
        <v>Normal</v>
      </c>
      <c r="Z531">
        <f t="shared" si="42"/>
        <v>4</v>
      </c>
      <c r="AA531">
        <f t="shared" si="43"/>
        <v>-0.22499999999999998</v>
      </c>
      <c r="AB531">
        <f t="shared" si="44"/>
        <v>532.99840000000006</v>
      </c>
    </row>
    <row r="532" spans="1:28"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s="2">
        <v>6</v>
      </c>
      <c r="T532" s="2">
        <v>0.2</v>
      </c>
      <c r="U532" s="2">
        <v>19.692</v>
      </c>
      <c r="V532" t="str">
        <f t="shared" si="40"/>
        <v>Valid</v>
      </c>
      <c r="W532" s="2">
        <v>267.07</v>
      </c>
      <c r="X532" s="2">
        <v>656.2656164</v>
      </c>
      <c r="Y532" s="2" t="str">
        <f t="shared" si="41"/>
        <v>Normal</v>
      </c>
      <c r="Z532">
        <f t="shared" si="42"/>
        <v>4</v>
      </c>
      <c r="AA532">
        <f t="shared" si="43"/>
        <v>0.375</v>
      </c>
      <c r="AB532">
        <f t="shared" si="44"/>
        <v>42.009600000000006</v>
      </c>
    </row>
    <row r="533" spans="1:28"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s="2">
        <v>1</v>
      </c>
      <c r="T533" s="2">
        <v>0.2</v>
      </c>
      <c r="U533" s="2">
        <v>11.92</v>
      </c>
      <c r="V533" t="str">
        <f t="shared" si="40"/>
        <v>Valid</v>
      </c>
      <c r="W533" s="2">
        <v>267.07</v>
      </c>
      <c r="X533" s="2">
        <v>656.2656164</v>
      </c>
      <c r="Y533" s="2" t="str">
        <f t="shared" si="41"/>
        <v>Normal</v>
      </c>
      <c r="Z533">
        <f t="shared" si="42"/>
        <v>2</v>
      </c>
      <c r="AA533">
        <f t="shared" si="43"/>
        <v>6.25E-2</v>
      </c>
      <c r="AB533">
        <f t="shared" si="44"/>
        <v>152.57599999999999</v>
      </c>
    </row>
    <row r="534" spans="1:28"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s="2">
        <v>3</v>
      </c>
      <c r="T534" s="2">
        <v>0</v>
      </c>
      <c r="U534" s="2">
        <v>2.3969999999999998</v>
      </c>
      <c r="V534" t="str">
        <f t="shared" si="40"/>
        <v>Valid</v>
      </c>
      <c r="W534" s="2">
        <v>267.07</v>
      </c>
      <c r="X534" s="2">
        <v>656.2656164</v>
      </c>
      <c r="Y534" s="2" t="str">
        <f t="shared" si="41"/>
        <v>Normal</v>
      </c>
      <c r="Z534">
        <f t="shared" si="42"/>
        <v>4</v>
      </c>
      <c r="AA534">
        <f t="shared" si="43"/>
        <v>4.9999999999999996E-2</v>
      </c>
      <c r="AB534">
        <f t="shared" si="44"/>
        <v>47.94</v>
      </c>
    </row>
    <row r="535" spans="1:28"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s="2">
        <v>5</v>
      </c>
      <c r="T535" s="2">
        <v>0</v>
      </c>
      <c r="U535" s="2">
        <v>274.38600000000002</v>
      </c>
      <c r="V535" t="str">
        <f t="shared" si="40"/>
        <v>Valid</v>
      </c>
      <c r="W535" s="2">
        <v>267.07</v>
      </c>
      <c r="X535" s="2">
        <v>656.2656164</v>
      </c>
      <c r="Y535" s="2" t="str">
        <f t="shared" si="41"/>
        <v>Normal</v>
      </c>
      <c r="Z535">
        <f t="shared" si="42"/>
        <v>3</v>
      </c>
      <c r="AA535">
        <f t="shared" si="43"/>
        <v>0.28000000000000003</v>
      </c>
      <c r="AB535">
        <f t="shared" si="44"/>
        <v>979.95</v>
      </c>
    </row>
    <row r="536" spans="1:28"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s="2">
        <v>5</v>
      </c>
      <c r="T536" s="2">
        <v>0</v>
      </c>
      <c r="U536" s="2">
        <v>11.375</v>
      </c>
      <c r="V536" t="str">
        <f t="shared" si="40"/>
        <v>Valid</v>
      </c>
      <c r="W536" s="2">
        <v>267.07</v>
      </c>
      <c r="X536" s="2">
        <v>656.2656164</v>
      </c>
      <c r="Y536" s="2" t="str">
        <f t="shared" si="41"/>
        <v>Normal</v>
      </c>
      <c r="Z536">
        <f t="shared" si="42"/>
        <v>3</v>
      </c>
      <c r="AA536">
        <f t="shared" si="43"/>
        <v>0.5</v>
      </c>
      <c r="AB536">
        <f t="shared" si="44"/>
        <v>22.75</v>
      </c>
    </row>
    <row r="537" spans="1:28"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s="2">
        <v>2</v>
      </c>
      <c r="T537" s="2">
        <v>0.2</v>
      </c>
      <c r="U537" s="2">
        <v>1.4672000000000001</v>
      </c>
      <c r="V537" t="str">
        <f t="shared" si="40"/>
        <v>Valid</v>
      </c>
      <c r="W537" s="2">
        <v>267.07</v>
      </c>
      <c r="X537" s="2">
        <v>656.2656164</v>
      </c>
      <c r="Y537" s="2" t="str">
        <f t="shared" si="41"/>
        <v>Normal</v>
      </c>
      <c r="Z537">
        <f t="shared" si="42"/>
        <v>6</v>
      </c>
      <c r="AA537">
        <f t="shared" si="43"/>
        <v>8.7499999999999994E-2</v>
      </c>
      <c r="AB537">
        <f t="shared" si="44"/>
        <v>13.414400000000001</v>
      </c>
    </row>
    <row r="538" spans="1:28"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s="2">
        <v>7</v>
      </c>
      <c r="T538" s="2">
        <v>0.8</v>
      </c>
      <c r="U538" s="2">
        <v>-68.185599999999994</v>
      </c>
      <c r="V538" t="str">
        <f t="shared" si="40"/>
        <v>Valid</v>
      </c>
      <c r="W538" s="2">
        <v>267.07</v>
      </c>
      <c r="X538" s="2">
        <v>656.2656164</v>
      </c>
      <c r="Y538" s="2" t="str">
        <f t="shared" si="41"/>
        <v>Normal</v>
      </c>
      <c r="Z538">
        <f t="shared" si="42"/>
        <v>5</v>
      </c>
      <c r="AA538">
        <f t="shared" si="43"/>
        <v>-1.5999999999999999</v>
      </c>
      <c r="AB538">
        <f t="shared" si="44"/>
        <v>8.5231999999999974</v>
      </c>
    </row>
    <row r="539" spans="1:28"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s="2">
        <v>4</v>
      </c>
      <c r="T539" s="2">
        <v>0.2</v>
      </c>
      <c r="U539" s="2">
        <v>3.36</v>
      </c>
      <c r="V539" t="str">
        <f t="shared" si="40"/>
        <v>Valid</v>
      </c>
      <c r="W539" s="2">
        <v>267.07</v>
      </c>
      <c r="X539" s="2">
        <v>656.2656164</v>
      </c>
      <c r="Y539" s="2" t="str">
        <f t="shared" si="41"/>
        <v>Normal</v>
      </c>
      <c r="Z539">
        <f t="shared" si="42"/>
        <v>5</v>
      </c>
      <c r="AA539">
        <f t="shared" si="43"/>
        <v>0.31249999999999994</v>
      </c>
      <c r="AB539">
        <f t="shared" si="44"/>
        <v>8.6016000000000012</v>
      </c>
    </row>
    <row r="540" spans="1:28"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s="2">
        <v>3</v>
      </c>
      <c r="T540" s="2">
        <v>0</v>
      </c>
      <c r="U540" s="2">
        <v>41.293799999999997</v>
      </c>
      <c r="V540" t="str">
        <f t="shared" si="40"/>
        <v>Valid</v>
      </c>
      <c r="W540" s="2">
        <v>267.07</v>
      </c>
      <c r="X540" s="2">
        <v>656.2656164</v>
      </c>
      <c r="Y540" s="2" t="str">
        <f t="shared" si="41"/>
        <v>Normal</v>
      </c>
      <c r="Z540">
        <f t="shared" si="42"/>
        <v>4</v>
      </c>
      <c r="AA540">
        <f t="shared" si="43"/>
        <v>0.26999999999999996</v>
      </c>
      <c r="AB540">
        <f t="shared" si="44"/>
        <v>152.94</v>
      </c>
    </row>
    <row r="541" spans="1:28"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s="2">
        <v>4</v>
      </c>
      <c r="T541" s="2">
        <v>0</v>
      </c>
      <c r="U541" s="2">
        <v>70.98</v>
      </c>
      <c r="V541" t="str">
        <f t="shared" si="40"/>
        <v>Valid</v>
      </c>
      <c r="W541" s="2">
        <v>267.07</v>
      </c>
      <c r="X541" s="2">
        <v>656.2656164</v>
      </c>
      <c r="Y541" s="2" t="str">
        <f t="shared" si="41"/>
        <v>Normal</v>
      </c>
      <c r="Z541">
        <f t="shared" si="42"/>
        <v>4</v>
      </c>
      <c r="AA541">
        <f t="shared" si="43"/>
        <v>0.25</v>
      </c>
      <c r="AB541">
        <f t="shared" si="44"/>
        <v>283.92</v>
      </c>
    </row>
    <row r="542" spans="1:28"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s="2">
        <v>6</v>
      </c>
      <c r="T542" s="2">
        <v>0</v>
      </c>
      <c r="U542" s="2">
        <v>206.316</v>
      </c>
      <c r="V542" t="str">
        <f t="shared" si="40"/>
        <v>Valid</v>
      </c>
      <c r="W542" s="2">
        <v>267.07</v>
      </c>
      <c r="X542" s="2">
        <v>656.2656164</v>
      </c>
      <c r="Y542" s="2" t="str">
        <f t="shared" si="41"/>
        <v>Normal</v>
      </c>
      <c r="Z542">
        <f t="shared" si="42"/>
        <v>2</v>
      </c>
      <c r="AA542">
        <f t="shared" si="43"/>
        <v>0.44</v>
      </c>
      <c r="AB542">
        <f t="shared" si="44"/>
        <v>468.9</v>
      </c>
    </row>
    <row r="543" spans="1:28"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s="2">
        <v>8</v>
      </c>
      <c r="T543" s="2">
        <v>0.2</v>
      </c>
      <c r="U543" s="2">
        <v>38.086399999999998</v>
      </c>
      <c r="V543" t="str">
        <f t="shared" si="40"/>
        <v>Valid</v>
      </c>
      <c r="W543" s="2">
        <v>267.07</v>
      </c>
      <c r="X543" s="2">
        <v>656.2656164</v>
      </c>
      <c r="Y543" s="2" t="str">
        <f t="shared" si="41"/>
        <v>Normal</v>
      </c>
      <c r="Z543">
        <f t="shared" si="42"/>
        <v>3</v>
      </c>
      <c r="AA543">
        <f t="shared" si="43"/>
        <v>0.1</v>
      </c>
      <c r="AB543">
        <f t="shared" si="44"/>
        <v>304.69119999999998</v>
      </c>
    </row>
    <row r="544" spans="1:28"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s="2">
        <v>9</v>
      </c>
      <c r="T544" s="2">
        <v>0.2</v>
      </c>
      <c r="U544" s="2">
        <v>-145.52459999999999</v>
      </c>
      <c r="V544" t="str">
        <f t="shared" si="40"/>
        <v>Valid</v>
      </c>
      <c r="W544" s="2">
        <v>267.07</v>
      </c>
      <c r="X544" s="2">
        <v>656.2656164</v>
      </c>
      <c r="Y544" s="2" t="str">
        <f t="shared" si="41"/>
        <v>Normal</v>
      </c>
      <c r="Z544">
        <f t="shared" si="42"/>
        <v>5</v>
      </c>
      <c r="AA544">
        <f t="shared" si="43"/>
        <v>-0.22500000000000001</v>
      </c>
      <c r="AB544">
        <f t="shared" si="44"/>
        <v>517.42079999999999</v>
      </c>
    </row>
    <row r="545" spans="1:28"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s="2">
        <v>2</v>
      </c>
      <c r="T545" s="2">
        <v>0.2</v>
      </c>
      <c r="U545" s="2">
        <v>7.2640000000000002</v>
      </c>
      <c r="V545" t="str">
        <f t="shared" si="40"/>
        <v>Valid</v>
      </c>
      <c r="W545" s="2">
        <v>267.07</v>
      </c>
      <c r="X545" s="2">
        <v>656.2656164</v>
      </c>
      <c r="Y545" s="2" t="str">
        <f t="shared" si="41"/>
        <v>Normal</v>
      </c>
      <c r="Z545">
        <f t="shared" si="42"/>
        <v>5</v>
      </c>
      <c r="AA545">
        <f t="shared" si="43"/>
        <v>0.125</v>
      </c>
      <c r="AB545">
        <f t="shared" si="44"/>
        <v>46.489600000000003</v>
      </c>
    </row>
    <row r="546" spans="1:28"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s="2">
        <v>1</v>
      </c>
      <c r="T546" s="2">
        <v>0.2</v>
      </c>
      <c r="U546" s="2">
        <v>6.2995000000000001</v>
      </c>
      <c r="V546" t="str">
        <f t="shared" si="40"/>
        <v>Valid</v>
      </c>
      <c r="W546" s="2">
        <v>267.07</v>
      </c>
      <c r="X546" s="2">
        <v>656.2656164</v>
      </c>
      <c r="Y546" s="2" t="str">
        <f t="shared" si="41"/>
        <v>Normal</v>
      </c>
      <c r="Z546">
        <f t="shared" si="42"/>
        <v>5</v>
      </c>
      <c r="AA546">
        <f t="shared" si="43"/>
        <v>6.25E-2</v>
      </c>
      <c r="AB546">
        <f t="shared" si="44"/>
        <v>80.633600000000001</v>
      </c>
    </row>
    <row r="547" spans="1:28"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s="2">
        <v>4</v>
      </c>
      <c r="T547" s="2">
        <v>0.6</v>
      </c>
      <c r="U547" s="2">
        <v>-84.2928</v>
      </c>
      <c r="V547" t="str">
        <f t="shared" si="40"/>
        <v>Valid</v>
      </c>
      <c r="W547" s="2">
        <v>267.07</v>
      </c>
      <c r="X547" s="2">
        <v>656.2656164</v>
      </c>
      <c r="Y547" s="2" t="str">
        <f t="shared" si="41"/>
        <v>Normal</v>
      </c>
      <c r="Z547">
        <f t="shared" si="42"/>
        <v>5</v>
      </c>
      <c r="AA547">
        <f t="shared" si="43"/>
        <v>-1.2750000000000001</v>
      </c>
      <c r="AB547">
        <f t="shared" si="44"/>
        <v>26.444800000000001</v>
      </c>
    </row>
    <row r="548" spans="1:28"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s="2">
        <v>6</v>
      </c>
      <c r="T548" s="2">
        <v>0.2</v>
      </c>
      <c r="U548" s="2">
        <v>13.932</v>
      </c>
      <c r="V548" t="str">
        <f t="shared" si="40"/>
        <v>Valid</v>
      </c>
      <c r="W548" s="2">
        <v>267.07</v>
      </c>
      <c r="X548" s="2">
        <v>656.2656164</v>
      </c>
      <c r="Y548" s="2" t="str">
        <f t="shared" si="41"/>
        <v>Normal</v>
      </c>
      <c r="Z548">
        <f t="shared" si="42"/>
        <v>3</v>
      </c>
      <c r="AA548">
        <f t="shared" si="43"/>
        <v>0.33750000000000002</v>
      </c>
      <c r="AB548">
        <f t="shared" si="44"/>
        <v>33.024000000000001</v>
      </c>
    </row>
    <row r="549" spans="1:28"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s="2">
        <v>2</v>
      </c>
      <c r="T549" s="2">
        <v>0</v>
      </c>
      <c r="U549" s="2">
        <v>6.4127999999999998</v>
      </c>
      <c r="V549" t="str">
        <f t="shared" si="40"/>
        <v>Valid</v>
      </c>
      <c r="W549" s="2">
        <v>267.07</v>
      </c>
      <c r="X549" s="2">
        <v>656.2656164</v>
      </c>
      <c r="Y549" s="2" t="str">
        <f t="shared" si="41"/>
        <v>Normal</v>
      </c>
      <c r="Z549">
        <f t="shared" si="42"/>
        <v>3</v>
      </c>
      <c r="AA549">
        <f t="shared" si="43"/>
        <v>0.48</v>
      </c>
      <c r="AB549">
        <f t="shared" si="44"/>
        <v>13.36</v>
      </c>
    </row>
    <row r="550" spans="1:28"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s="2">
        <v>9</v>
      </c>
      <c r="T550" s="2">
        <v>0.2</v>
      </c>
      <c r="U550" s="2">
        <v>15.641999999999999</v>
      </c>
      <c r="V550" t="str">
        <f t="shared" si="40"/>
        <v>Valid</v>
      </c>
      <c r="W550" s="2">
        <v>267.07</v>
      </c>
      <c r="X550" s="2">
        <v>656.2656164</v>
      </c>
      <c r="Y550" s="2" t="str">
        <f t="shared" si="41"/>
        <v>Normal</v>
      </c>
      <c r="Z550">
        <f t="shared" si="42"/>
        <v>2</v>
      </c>
      <c r="AA550">
        <f t="shared" si="43"/>
        <v>6.25E-2</v>
      </c>
      <c r="AB550">
        <f t="shared" si="44"/>
        <v>200.2176</v>
      </c>
    </row>
    <row r="551" spans="1:28"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s="2">
        <v>3</v>
      </c>
      <c r="T551" s="2">
        <v>0.8</v>
      </c>
      <c r="U551" s="2">
        <v>-17.045999999999999</v>
      </c>
      <c r="V551" t="str">
        <f t="shared" si="40"/>
        <v>Valid</v>
      </c>
      <c r="W551" s="2">
        <v>267.07</v>
      </c>
      <c r="X551" s="2">
        <v>656.2656164</v>
      </c>
      <c r="Y551" s="2" t="str">
        <f t="shared" si="41"/>
        <v>Normal</v>
      </c>
      <c r="Z551">
        <f t="shared" si="42"/>
        <v>2</v>
      </c>
      <c r="AA551">
        <f t="shared" si="43"/>
        <v>-1.4999999999999998</v>
      </c>
      <c r="AB551">
        <f t="shared" si="44"/>
        <v>2.2727999999999997</v>
      </c>
    </row>
    <row r="553" spans="1:28" x14ac:dyDescent="0.3">
      <c r="R553" t="s">
        <v>1872</v>
      </c>
      <c r="S553" t="s">
        <v>1872</v>
      </c>
      <c r="T553" t="s">
        <v>1872</v>
      </c>
      <c r="U553" t="s">
        <v>1872</v>
      </c>
    </row>
    <row r="554" spans="1:28" x14ac:dyDescent="0.3">
      <c r="R554" s="2">
        <f>AVERAGE(R2:R551)</f>
        <v>267.07330200000007</v>
      </c>
      <c r="S554" s="2">
        <f>AVERAGE(S2:S551)</f>
        <v>3.9090909090909092</v>
      </c>
      <c r="T554" s="2">
        <f>AVERAGE(T2:T551)</f>
        <v>0.17201818181818249</v>
      </c>
      <c r="U554" s="2">
        <f>AVERAGE(U2:U551)</f>
        <v>18.940591454545451</v>
      </c>
    </row>
    <row r="556" spans="1:28" x14ac:dyDescent="0.3">
      <c r="R556" t="s">
        <v>1874</v>
      </c>
      <c r="S556" t="s">
        <v>1874</v>
      </c>
      <c r="T556" t="s">
        <v>1874</v>
      </c>
      <c r="U556" t="s">
        <v>1874</v>
      </c>
    </row>
    <row r="557" spans="1:28" x14ac:dyDescent="0.3">
      <c r="R557">
        <f>STDEV(R2:R551)</f>
        <v>654.2656164091685</v>
      </c>
      <c r="S557">
        <f>STDEV(S2:S551)</f>
        <v>2.3249085006397734</v>
      </c>
      <c r="T557">
        <f>STDEV(T2:T551)</f>
        <v>0.21283950621659453</v>
      </c>
      <c r="U557">
        <f>STDEV(U2:U551)</f>
        <v>234.00106293907822</v>
      </c>
    </row>
  </sheetData>
  <autoFilter ref="A1:X551" xr:uid="{6DA53628-0705-42CB-9E5A-60C28630AEBA}"/>
  <conditionalFormatting sqref="R1:R551">
    <cfRule type="cellIs" dxfId="1" priority="1" operator="lessThan">
      <formula>3</formula>
    </cfRule>
    <cfRule type="cellIs" dxfId="0" priority="2" operator="greaterThan">
      <formula>4080.6</formula>
    </cfRule>
  </conditionalFormatting>
  <pageMargins left="0.7" right="0.7" top="0.75" bottom="0.75" header="0.3" footer="0.3"/>
  <pageSetup scale="1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F508-C98E-4D21-A2B4-B1EBF7E84DAC}">
  <dimension ref="A2:N92"/>
  <sheetViews>
    <sheetView topLeftCell="A49" zoomScale="72" workbookViewId="0">
      <selection activeCell="AI38" sqref="AI38"/>
    </sheetView>
  </sheetViews>
  <sheetFormatPr defaultRowHeight="14.4" x14ac:dyDescent="0.3"/>
  <cols>
    <col min="1" max="1" width="13.77734375" bestFit="1" customWidth="1"/>
    <col min="2" max="2" width="12" bestFit="1" customWidth="1"/>
    <col min="3" max="3" width="12.33203125" bestFit="1" customWidth="1"/>
    <col min="4" max="4" width="12.109375" bestFit="1" customWidth="1"/>
  </cols>
  <sheetData>
    <row r="2" spans="1:3" ht="18" x14ac:dyDescent="0.35">
      <c r="A2" s="5" t="s">
        <v>1886</v>
      </c>
    </row>
    <row r="4" spans="1:3" x14ac:dyDescent="0.3">
      <c r="A4" s="3" t="s">
        <v>1881</v>
      </c>
      <c r="B4" t="s">
        <v>1883</v>
      </c>
      <c r="C4" t="s">
        <v>1884</v>
      </c>
    </row>
    <row r="5" spans="1:3" x14ac:dyDescent="0.3">
      <c r="A5" s="4" t="s">
        <v>104</v>
      </c>
      <c r="B5">
        <v>31969.712199999994</v>
      </c>
      <c r="C5">
        <v>-1184.0349999999994</v>
      </c>
    </row>
    <row r="6" spans="1:3" x14ac:dyDescent="0.3">
      <c r="A6" s="4" t="s">
        <v>147</v>
      </c>
      <c r="B6">
        <v>18005.804</v>
      </c>
      <c r="C6">
        <v>-1284.7108999999994</v>
      </c>
    </row>
    <row r="7" spans="1:3" x14ac:dyDescent="0.3">
      <c r="A7" s="4" t="s">
        <v>29</v>
      </c>
      <c r="B7">
        <v>13626.858999999997</v>
      </c>
      <c r="C7">
        <v>3022.6464999999998</v>
      </c>
    </row>
    <row r="8" spans="1:3" x14ac:dyDescent="0.3">
      <c r="A8" s="4" t="s">
        <v>43</v>
      </c>
      <c r="B8">
        <v>25144.108999999989</v>
      </c>
      <c r="C8">
        <v>2719.2091999999993</v>
      </c>
    </row>
    <row r="9" spans="1:3" x14ac:dyDescent="0.3">
      <c r="A9" s="4" t="s">
        <v>1882</v>
      </c>
      <c r="B9">
        <v>88746.484199999977</v>
      </c>
      <c r="C9">
        <v>3273.1098000000002</v>
      </c>
    </row>
    <row r="12" spans="1:3" ht="18" x14ac:dyDescent="0.35">
      <c r="A12" s="5" t="s">
        <v>1885</v>
      </c>
    </row>
    <row r="15" spans="1:3" x14ac:dyDescent="0.3">
      <c r="A15" s="3" t="s">
        <v>1881</v>
      </c>
      <c r="B15" t="s">
        <v>1883</v>
      </c>
      <c r="C15" t="s">
        <v>1884</v>
      </c>
    </row>
    <row r="16" spans="1:3" x14ac:dyDescent="0.3">
      <c r="A16" s="4" t="s">
        <v>31</v>
      </c>
      <c r="B16">
        <v>48374.098099999988</v>
      </c>
      <c r="C16">
        <v>-2958.0823000000005</v>
      </c>
    </row>
    <row r="17" spans="1:14" x14ac:dyDescent="0.3">
      <c r="A17" s="4" t="s">
        <v>45</v>
      </c>
      <c r="B17">
        <v>41308.25099999996</v>
      </c>
      <c r="C17">
        <v>7180.358699999998</v>
      </c>
    </row>
    <row r="18" spans="1:14" x14ac:dyDescent="0.3">
      <c r="A18" s="4" t="s">
        <v>70</v>
      </c>
      <c r="B18">
        <v>57207.967000000011</v>
      </c>
      <c r="C18">
        <v>6195.048899999998</v>
      </c>
    </row>
    <row r="19" spans="1:14" x14ac:dyDescent="0.3">
      <c r="A19" s="4" t="s">
        <v>1882</v>
      </c>
      <c r="B19">
        <v>146890.31609999997</v>
      </c>
      <c r="C19">
        <v>10417.325299999995</v>
      </c>
    </row>
    <row r="22" spans="1:14" ht="18" x14ac:dyDescent="0.35">
      <c r="A22" s="5" t="s">
        <v>1887</v>
      </c>
    </row>
    <row r="25" spans="1:14" x14ac:dyDescent="0.3">
      <c r="A25" s="3" t="s">
        <v>1881</v>
      </c>
      <c r="B25" t="s">
        <v>1884</v>
      </c>
    </row>
    <row r="26" spans="1:14" x14ac:dyDescent="0.3">
      <c r="A26" s="4" t="s">
        <v>74</v>
      </c>
      <c r="B26">
        <v>4167.9371000000001</v>
      </c>
    </row>
    <row r="27" spans="1:14" x14ac:dyDescent="0.3">
      <c r="A27" s="4" t="s">
        <v>1218</v>
      </c>
      <c r="B27">
        <v>2852.951</v>
      </c>
    </row>
    <row r="28" spans="1:14" x14ac:dyDescent="0.3">
      <c r="A28" s="4" t="s">
        <v>71</v>
      </c>
      <c r="B28">
        <v>2692.3593000000005</v>
      </c>
    </row>
    <row r="29" spans="1:14" x14ac:dyDescent="0.3">
      <c r="A29" s="4" t="s">
        <v>160</v>
      </c>
      <c r="B29">
        <v>2374.4669999999992</v>
      </c>
    </row>
    <row r="30" spans="1:14" x14ac:dyDescent="0.3">
      <c r="A30" s="4" t="s">
        <v>35</v>
      </c>
      <c r="B30">
        <v>1661.9816000000003</v>
      </c>
    </row>
    <row r="31" spans="1:14" x14ac:dyDescent="0.3">
      <c r="A31" s="4" t="s">
        <v>89</v>
      </c>
      <c r="B31">
        <v>1249.5681999999997</v>
      </c>
    </row>
    <row r="32" spans="1:14" x14ac:dyDescent="0.3">
      <c r="A32" s="4" t="s">
        <v>58</v>
      </c>
      <c r="B32">
        <v>877.66200000000015</v>
      </c>
      <c r="M32" t="s">
        <v>1894</v>
      </c>
      <c r="N32" t="s">
        <v>1895</v>
      </c>
    </row>
    <row r="33" spans="1:14" x14ac:dyDescent="0.3">
      <c r="A33" s="4" t="s">
        <v>172</v>
      </c>
      <c r="B33">
        <v>496.98810000000003</v>
      </c>
      <c r="M33" s="4" t="s">
        <v>74</v>
      </c>
      <c r="N33">
        <v>4167.9371000000001</v>
      </c>
    </row>
    <row r="34" spans="1:14" x14ac:dyDescent="0.3">
      <c r="A34" s="4" t="s">
        <v>67</v>
      </c>
      <c r="B34">
        <v>482.16469999999998</v>
      </c>
      <c r="M34" s="4" t="s">
        <v>1218</v>
      </c>
      <c r="N34">
        <v>2852.951</v>
      </c>
    </row>
    <row r="35" spans="1:14" x14ac:dyDescent="0.3">
      <c r="A35" s="4" t="s">
        <v>46</v>
      </c>
      <c r="B35">
        <v>177.13340000000002</v>
      </c>
      <c r="M35" s="4" t="s">
        <v>71</v>
      </c>
      <c r="N35">
        <v>2692.3593000000005</v>
      </c>
    </row>
    <row r="36" spans="1:14" x14ac:dyDescent="0.3">
      <c r="A36" s="4" t="s">
        <v>268</v>
      </c>
      <c r="B36">
        <v>90.461499999999987</v>
      </c>
      <c r="M36" s="4" t="s">
        <v>160</v>
      </c>
      <c r="N36">
        <v>2374.4669999999992</v>
      </c>
    </row>
    <row r="37" spans="1:14" x14ac:dyDescent="0.3">
      <c r="A37" s="4" t="s">
        <v>77</v>
      </c>
      <c r="B37">
        <v>-8.4360999999999748</v>
      </c>
      <c r="M37" s="4" t="s">
        <v>35</v>
      </c>
      <c r="N37">
        <v>1661.9816000000003</v>
      </c>
    </row>
    <row r="38" spans="1:14" x14ac:dyDescent="0.3">
      <c r="A38" s="4" t="s">
        <v>64</v>
      </c>
      <c r="B38">
        <v>-316.88589999999994</v>
      </c>
      <c r="M38" s="4"/>
    </row>
    <row r="39" spans="1:14" x14ac:dyDescent="0.3">
      <c r="A39" s="4" t="s">
        <v>578</v>
      </c>
      <c r="B39">
        <v>-353.12020000000001</v>
      </c>
      <c r="M39" s="4"/>
    </row>
    <row r="40" spans="1:14" x14ac:dyDescent="0.3">
      <c r="A40" s="4" t="s">
        <v>683</v>
      </c>
      <c r="B40">
        <v>-1724.7283999999997</v>
      </c>
      <c r="M40" s="4"/>
    </row>
    <row r="41" spans="1:14" x14ac:dyDescent="0.3">
      <c r="A41" s="4" t="s">
        <v>32</v>
      </c>
      <c r="B41">
        <v>-1878.9122</v>
      </c>
      <c r="M41" s="4"/>
    </row>
    <row r="42" spans="1:14" x14ac:dyDescent="0.3">
      <c r="A42" s="4" t="s">
        <v>55</v>
      </c>
      <c r="B42">
        <v>-2424.2658000000001</v>
      </c>
      <c r="M42" s="4"/>
    </row>
    <row r="43" spans="1:14" x14ac:dyDescent="0.3">
      <c r="A43" s="4" t="s">
        <v>1882</v>
      </c>
      <c r="B43">
        <v>10417.3253</v>
      </c>
      <c r="M43" s="4"/>
    </row>
    <row r="44" spans="1:14" x14ac:dyDescent="0.3">
      <c r="M44" s="4"/>
    </row>
    <row r="45" spans="1:14" x14ac:dyDescent="0.3">
      <c r="M45" s="4"/>
    </row>
    <row r="46" spans="1:14" ht="18" x14ac:dyDescent="0.35">
      <c r="A46" s="5" t="s">
        <v>1888</v>
      </c>
      <c r="M46" s="4"/>
    </row>
    <row r="47" spans="1:14" x14ac:dyDescent="0.3">
      <c r="M47" s="4"/>
    </row>
    <row r="48" spans="1:14" x14ac:dyDescent="0.3">
      <c r="M48" s="4"/>
    </row>
    <row r="49" spans="1:14" x14ac:dyDescent="0.3">
      <c r="A49" s="3" t="s">
        <v>1881</v>
      </c>
      <c r="B49" t="s">
        <v>1883</v>
      </c>
      <c r="C49" t="s">
        <v>1884</v>
      </c>
      <c r="M49" s="4"/>
    </row>
    <row r="50" spans="1:14" x14ac:dyDescent="0.3">
      <c r="A50" s="4" t="s">
        <v>25</v>
      </c>
      <c r="B50">
        <v>80466.691599999933</v>
      </c>
      <c r="C50">
        <v>4636.421699999999</v>
      </c>
      <c r="M50" s="7"/>
      <c r="N50" s="8"/>
    </row>
    <row r="51" spans="1:14" x14ac:dyDescent="0.3">
      <c r="A51" s="4" t="s">
        <v>1882</v>
      </c>
      <c r="B51">
        <v>80466.691599999933</v>
      </c>
      <c r="C51">
        <v>4636.421699999999</v>
      </c>
    </row>
    <row r="56" spans="1:14" ht="18" x14ac:dyDescent="0.35">
      <c r="A56" s="5" t="s">
        <v>1889</v>
      </c>
    </row>
    <row r="59" spans="1:14" x14ac:dyDescent="0.3">
      <c r="A59" s="3" t="s">
        <v>1881</v>
      </c>
      <c r="B59" t="s">
        <v>1892</v>
      </c>
    </row>
    <row r="60" spans="1:14" x14ac:dyDescent="0.3">
      <c r="A60" s="6">
        <v>0</v>
      </c>
      <c r="B60">
        <v>0.33677685950413194</v>
      </c>
    </row>
    <row r="61" spans="1:14" x14ac:dyDescent="0.3">
      <c r="A61" s="6">
        <v>0.1</v>
      </c>
      <c r="B61">
        <v>9.7222222222222224E-2</v>
      </c>
    </row>
    <row r="62" spans="1:14" x14ac:dyDescent="0.3">
      <c r="A62" s="6">
        <v>0.15</v>
      </c>
      <c r="B62">
        <v>3.9215686274509777E-3</v>
      </c>
    </row>
    <row r="63" spans="1:14" x14ac:dyDescent="0.3">
      <c r="A63" s="6">
        <v>0.2</v>
      </c>
      <c r="B63">
        <v>0.15975467289719619</v>
      </c>
    </row>
    <row r="64" spans="1:14" x14ac:dyDescent="0.3">
      <c r="A64" s="6">
        <v>0.3</v>
      </c>
      <c r="B64">
        <v>-8.2857142857142865E-2</v>
      </c>
    </row>
    <row r="65" spans="1:2" x14ac:dyDescent="0.3">
      <c r="A65" s="6">
        <v>0.32</v>
      </c>
      <c r="B65">
        <v>-0.13235294117647059</v>
      </c>
    </row>
    <row r="66" spans="1:2" x14ac:dyDescent="0.3">
      <c r="A66" s="6">
        <v>0.4</v>
      </c>
      <c r="B66">
        <v>-0.2</v>
      </c>
    </row>
    <row r="67" spans="1:2" x14ac:dyDescent="0.3">
      <c r="A67" s="6">
        <v>0.45</v>
      </c>
      <c r="B67">
        <v>-0.41363636363636364</v>
      </c>
    </row>
    <row r="68" spans="1:2" x14ac:dyDescent="0.3">
      <c r="A68" s="6">
        <v>0.5</v>
      </c>
      <c r="B68">
        <v>-0.62</v>
      </c>
    </row>
    <row r="69" spans="1:2" x14ac:dyDescent="0.3">
      <c r="A69" s="6">
        <v>0.6</v>
      </c>
      <c r="B69">
        <v>-0.80833333333333335</v>
      </c>
    </row>
    <row r="70" spans="1:2" x14ac:dyDescent="0.3">
      <c r="A70" s="6">
        <v>0.7</v>
      </c>
      <c r="B70">
        <v>-0.73589743589743584</v>
      </c>
    </row>
    <row r="71" spans="1:2" x14ac:dyDescent="0.3">
      <c r="A71" s="6">
        <v>0.8</v>
      </c>
      <c r="B71">
        <v>-1.9411764705882353</v>
      </c>
    </row>
    <row r="72" spans="1:2" x14ac:dyDescent="0.3">
      <c r="A72" s="6" t="s">
        <v>1882</v>
      </c>
      <c r="B72">
        <v>8.5162990099620806E-2</v>
      </c>
    </row>
    <row r="75" spans="1:2" ht="18" x14ac:dyDescent="0.35">
      <c r="A75" s="5" t="s">
        <v>1890</v>
      </c>
    </row>
    <row r="78" spans="1:2" x14ac:dyDescent="0.3">
      <c r="A78" s="3" t="s">
        <v>1881</v>
      </c>
      <c r="B78" t="s">
        <v>1891</v>
      </c>
    </row>
    <row r="79" spans="1:2" x14ac:dyDescent="0.3">
      <c r="A79" s="4" t="s">
        <v>187</v>
      </c>
      <c r="B79">
        <v>2.1489361702127661</v>
      </c>
    </row>
    <row r="80" spans="1:2" x14ac:dyDescent="0.3">
      <c r="A80" s="4" t="s">
        <v>22</v>
      </c>
      <c r="B80">
        <v>3.2105263157894739</v>
      </c>
    </row>
    <row r="81" spans="1:4" x14ac:dyDescent="0.3">
      <c r="A81" s="4" t="s">
        <v>49</v>
      </c>
      <c r="B81">
        <v>5.0721003134796234</v>
      </c>
    </row>
    <row r="82" spans="1:4" x14ac:dyDescent="0.3">
      <c r="A82" s="4" t="s">
        <v>1882</v>
      </c>
      <c r="B82">
        <v>4.115384615384615</v>
      </c>
      <c r="C82" t="s">
        <v>1893</v>
      </c>
    </row>
    <row r="87" spans="1:4" x14ac:dyDescent="0.3">
      <c r="A87" s="3" t="s">
        <v>12</v>
      </c>
      <c r="B87" t="s">
        <v>1883</v>
      </c>
      <c r="C87" t="s">
        <v>1896</v>
      </c>
      <c r="D87" t="s">
        <v>1884</v>
      </c>
    </row>
    <row r="88" spans="1:4" x14ac:dyDescent="0.3">
      <c r="A88" s="4" t="s">
        <v>104</v>
      </c>
      <c r="B88">
        <v>47037.86759999999</v>
      </c>
      <c r="C88">
        <v>148</v>
      </c>
      <c r="D88">
        <v>-751.72419999999943</v>
      </c>
    </row>
    <row r="89" spans="1:4" x14ac:dyDescent="0.3">
      <c r="A89" s="4" t="s">
        <v>147</v>
      </c>
      <c r="B89">
        <v>35310.460000000014</v>
      </c>
      <c r="C89">
        <v>166</v>
      </c>
      <c r="D89">
        <v>1469.3653000000013</v>
      </c>
    </row>
    <row r="90" spans="1:4" x14ac:dyDescent="0.3">
      <c r="A90" s="4" t="s">
        <v>29</v>
      </c>
      <c r="B90">
        <v>20926.425499999998</v>
      </c>
      <c r="C90">
        <v>65</v>
      </c>
      <c r="D90">
        <v>3213.8626999999997</v>
      </c>
    </row>
    <row r="91" spans="1:4" x14ac:dyDescent="0.3">
      <c r="A91" s="4" t="s">
        <v>43</v>
      </c>
      <c r="B91">
        <v>43615.562999999958</v>
      </c>
      <c r="C91">
        <v>171</v>
      </c>
      <c r="D91">
        <v>6485.8215</v>
      </c>
    </row>
    <row r="92" spans="1:4" x14ac:dyDescent="0.3">
      <c r="A92" s="4" t="s">
        <v>1882</v>
      </c>
      <c r="B92">
        <v>146890.31609999997</v>
      </c>
      <c r="C92">
        <v>550</v>
      </c>
      <c r="D92">
        <v>10417.325299999993</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34D9-DE13-4F0E-8E25-A5B3204926CE}">
  <sheetPr>
    <pageSetUpPr fitToPage="1"/>
  </sheetPr>
  <dimension ref="A2:AA9"/>
  <sheetViews>
    <sheetView showGridLines="0" tabSelected="1" zoomScale="73" workbookViewId="0">
      <selection activeCell="AF11" sqref="AF11"/>
    </sheetView>
  </sheetViews>
  <sheetFormatPr defaultRowHeight="14.4" x14ac:dyDescent="0.3"/>
  <cols>
    <col min="24" max="24" width="15.5546875" bestFit="1" customWidth="1"/>
    <col min="25" max="25" width="17.21875" bestFit="1" customWidth="1"/>
    <col min="26" max="26" width="22.33203125" bestFit="1" customWidth="1"/>
    <col min="27" max="27" width="16.44140625" bestFit="1" customWidth="1"/>
    <col min="28" max="28" width="21.21875" bestFit="1" customWidth="1"/>
    <col min="29" max="29" width="16.44140625" bestFit="1" customWidth="1"/>
  </cols>
  <sheetData>
    <row r="2" spans="1:27" ht="33.6" x14ac:dyDescent="0.65">
      <c r="A2" s="10" t="s">
        <v>1897</v>
      </c>
      <c r="L2" s="9"/>
    </row>
    <row r="4" spans="1:27" x14ac:dyDescent="0.3">
      <c r="X4" s="3" t="s">
        <v>12</v>
      </c>
      <c r="Y4" s="3" t="s">
        <v>1883</v>
      </c>
      <c r="Z4" t="s">
        <v>1896</v>
      </c>
      <c r="AA4" t="s">
        <v>1884</v>
      </c>
    </row>
    <row r="5" spans="1:27" x14ac:dyDescent="0.3">
      <c r="X5" s="4" t="s">
        <v>104</v>
      </c>
      <c r="Y5">
        <v>47037.86759999999</v>
      </c>
      <c r="Z5">
        <v>148</v>
      </c>
      <c r="AA5">
        <v>-751.72419999999943</v>
      </c>
    </row>
    <row r="6" spans="1:27" x14ac:dyDescent="0.3">
      <c r="X6" s="4" t="s">
        <v>147</v>
      </c>
      <c r="Y6">
        <v>35310.460000000014</v>
      </c>
      <c r="Z6">
        <v>166</v>
      </c>
      <c r="AA6">
        <v>1469.3653000000013</v>
      </c>
    </row>
    <row r="7" spans="1:27" x14ac:dyDescent="0.3">
      <c r="X7" s="4" t="s">
        <v>29</v>
      </c>
      <c r="Y7">
        <v>20926.425499999998</v>
      </c>
      <c r="Z7">
        <v>65</v>
      </c>
      <c r="AA7">
        <v>3213.8626999999997</v>
      </c>
    </row>
    <row r="8" spans="1:27" x14ac:dyDescent="0.3">
      <c r="X8" s="4" t="s">
        <v>43</v>
      </c>
      <c r="Y8">
        <v>43615.562999999958</v>
      </c>
      <c r="Z8">
        <v>171</v>
      </c>
      <c r="AA8">
        <v>6485.8215</v>
      </c>
    </row>
    <row r="9" spans="1:27" x14ac:dyDescent="0.3">
      <c r="X9" s="4" t="s">
        <v>1882</v>
      </c>
      <c r="Y9">
        <v>146890.31609999997</v>
      </c>
      <c r="Z9">
        <v>550</v>
      </c>
      <c r="AA9">
        <v>10417.325299999993</v>
      </c>
    </row>
  </sheetData>
  <pageMargins left="0.7" right="0.7" top="0.75" bottom="0.75" header="0.3" footer="0.3"/>
  <pageSetup paperSize="9" scale="44" fitToHeight="0" orientation="landscape"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 </vt:lpstr>
      <vt:lpstr>EDA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Pavithran R</dc:creator>
  <cp:lastModifiedBy>Pavithran R</cp:lastModifiedBy>
  <cp:lastPrinted>2025-11-09T06:13:43Z</cp:lastPrinted>
  <dcterms:created xsi:type="dcterms:W3CDTF">2025-11-06T06:59:57Z</dcterms:created>
  <dcterms:modified xsi:type="dcterms:W3CDTF">2025-12-06T03:14:16Z</dcterms:modified>
</cp:coreProperties>
</file>